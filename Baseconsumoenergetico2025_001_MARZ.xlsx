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upoalmar-my.sharepoint.com/personal/sergio_chavez_produmar_com_ec/Documents/Escritorio/Diario/01/"/>
    </mc:Choice>
  </mc:AlternateContent>
  <xr:revisionPtr revIDLastSave="237" documentId="8_{C69BEAFB-E70F-4A5A-B148-16E053DA1C0C}" xr6:coauthVersionLast="47" xr6:coauthVersionMax="47" xr10:uidLastSave="{64634E0D-32C9-4C90-9C04-8AF74CB6FEFE}"/>
  <bookViews>
    <workbookView xWindow="-108" yWindow="-108" windowWidth="23256" windowHeight="13896" tabRatio="667" activeTab="3" xr2:uid="{00000000-000D-0000-FFFF-FFFF00000000}"/>
  </bookViews>
  <sheets>
    <sheet name="BASE REFRISTORE" sheetId="1" r:id="rId1"/>
    <sheet name=" Demanda Kw" sheetId="15" r:id="rId2"/>
    <sheet name="Factor Demanda" sheetId="10" r:id="rId3"/>
    <sheet name="FactorPotencia" sheetId="19" r:id="rId4"/>
  </sheets>
  <definedNames>
    <definedName name="_xlnm._FilterDatabase" localSheetId="0" hidden="1">'BASE REFRISTORE'!$A$1:$Z$447</definedName>
    <definedName name="SegmentaciónDeDatos_AÑO">#N/A</definedName>
    <definedName name="SegmentaciónDeDatos_AÑO1">#N/A</definedName>
    <definedName name="SegmentaciónDeDatos_AÑO11">#N/A</definedName>
    <definedName name="SegmentaciónDeDatos_MES">#N/A</definedName>
    <definedName name="SegmentaciónDeDatos_MES1">#N/A</definedName>
    <definedName name="SegmentaciónDeDatos_MES11">#N/A</definedName>
    <definedName name="SegmentaciónDeDatos_Semana">#N/A</definedName>
    <definedName name="SegmentaciónDeDatos_Semana1">#N/A</definedName>
    <definedName name="SegmentaciónDeDatos_Semana2">#N/A</definedName>
  </definedNames>
  <calcPr calcId="191028"/>
  <pivotCaches>
    <pivotCache cacheId="101" r:id="rId5"/>
    <pivotCache cacheId="10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8" i="1" l="1"/>
  <c r="X428" i="1" s="1"/>
  <c r="O429" i="1"/>
  <c r="X429" i="1" s="1"/>
  <c r="O430" i="1"/>
  <c r="X430" i="1" s="1"/>
  <c r="O431" i="1"/>
  <c r="X431" i="1" s="1"/>
  <c r="O432" i="1"/>
  <c r="X432" i="1" s="1"/>
  <c r="O433" i="1"/>
  <c r="X433" i="1" s="1"/>
  <c r="O434" i="1"/>
  <c r="X434" i="1" s="1"/>
  <c r="O435" i="1"/>
  <c r="X435" i="1" s="1"/>
  <c r="O436" i="1"/>
  <c r="X436" i="1" s="1"/>
  <c r="O437" i="1"/>
  <c r="X437" i="1" s="1"/>
  <c r="O438" i="1"/>
  <c r="X438" i="1" s="1"/>
  <c r="O439" i="1"/>
  <c r="X439" i="1" s="1"/>
  <c r="O440" i="1"/>
  <c r="X440" i="1" s="1"/>
  <c r="O441" i="1"/>
  <c r="X441" i="1" s="1"/>
  <c r="O442" i="1"/>
  <c r="X442" i="1" s="1"/>
  <c r="O443" i="1"/>
  <c r="X443" i="1" s="1"/>
  <c r="O444" i="1"/>
  <c r="X444" i="1" s="1"/>
  <c r="O445" i="1"/>
  <c r="X445" i="1" s="1"/>
  <c r="O446" i="1"/>
  <c r="X446" i="1" s="1"/>
  <c r="O447" i="1"/>
  <c r="X447" i="1" s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L428" i="1"/>
  <c r="R428" i="1" s="1"/>
  <c r="AA435" i="1" l="1"/>
  <c r="AB435" i="1" s="1"/>
  <c r="AA438" i="1"/>
  <c r="AB438" i="1" s="1"/>
  <c r="AA437" i="1"/>
  <c r="AB437" i="1" s="1"/>
  <c r="AA447" i="1"/>
  <c r="AB447" i="1" s="1"/>
  <c r="AA433" i="1"/>
  <c r="AB433" i="1" s="1"/>
  <c r="AA439" i="1"/>
  <c r="AB439" i="1" s="1"/>
  <c r="AA436" i="1"/>
  <c r="AB436" i="1" s="1"/>
  <c r="AA442" i="1"/>
  <c r="AB442" i="1" s="1"/>
  <c r="AA428" i="1"/>
  <c r="AB428" i="1" s="1"/>
  <c r="AA441" i="1"/>
  <c r="AB441" i="1" s="1"/>
  <c r="P428" i="1"/>
  <c r="Z428" i="1"/>
  <c r="AA434" i="1"/>
  <c r="AB434" i="1" s="1"/>
  <c r="AA440" i="1"/>
  <c r="AB440" i="1" s="1"/>
  <c r="AA445" i="1"/>
  <c r="AB445" i="1" s="1"/>
  <c r="AA431" i="1"/>
  <c r="AB431" i="1" s="1"/>
  <c r="AA444" i="1"/>
  <c r="AB444" i="1" s="1"/>
  <c r="AA430" i="1"/>
  <c r="AB430" i="1" s="1"/>
  <c r="AA446" i="1"/>
  <c r="AB446" i="1" s="1"/>
  <c r="AA432" i="1"/>
  <c r="AB432" i="1" s="1"/>
  <c r="AA443" i="1"/>
  <c r="AB443" i="1" s="1"/>
  <c r="AA429" i="1"/>
  <c r="AB429" i="1" s="1"/>
  <c r="Q428" i="1"/>
  <c r="L429" i="1"/>
  <c r="S428" i="1"/>
  <c r="P429" i="1" l="1"/>
  <c r="S429" i="1"/>
  <c r="R429" i="1"/>
  <c r="L430" i="1"/>
  <c r="Q429" i="1"/>
  <c r="Z429" i="1"/>
  <c r="Q430" i="1" l="1"/>
  <c r="R430" i="1"/>
  <c r="Z430" i="1"/>
  <c r="P430" i="1"/>
  <c r="L431" i="1"/>
  <c r="S430" i="1"/>
  <c r="Q431" i="1" l="1"/>
  <c r="R431" i="1"/>
  <c r="Z431" i="1"/>
  <c r="L432" i="1"/>
  <c r="P431" i="1"/>
  <c r="S431" i="1"/>
  <c r="S432" i="1" l="1"/>
  <c r="Q432" i="1"/>
  <c r="Z432" i="1"/>
  <c r="R432" i="1"/>
  <c r="P432" i="1"/>
  <c r="O424" i="1" l="1"/>
  <c r="X424" i="1" s="1"/>
  <c r="O425" i="1"/>
  <c r="O426" i="1"/>
  <c r="X426" i="1" s="1"/>
  <c r="O427" i="1"/>
  <c r="X427" i="1" s="1"/>
  <c r="P424" i="1"/>
  <c r="P425" i="1"/>
  <c r="P426" i="1"/>
  <c r="P427" i="1"/>
  <c r="Q424" i="1"/>
  <c r="Q425" i="1"/>
  <c r="Q426" i="1"/>
  <c r="Q427" i="1"/>
  <c r="R424" i="1"/>
  <c r="R425" i="1"/>
  <c r="R426" i="1"/>
  <c r="R427" i="1"/>
  <c r="S424" i="1"/>
  <c r="S425" i="1"/>
  <c r="S426" i="1"/>
  <c r="S427" i="1"/>
  <c r="T424" i="1"/>
  <c r="T425" i="1"/>
  <c r="T426" i="1"/>
  <c r="T427" i="1"/>
  <c r="U424" i="1"/>
  <c r="U425" i="1"/>
  <c r="U426" i="1"/>
  <c r="U427" i="1"/>
  <c r="V424" i="1"/>
  <c r="V425" i="1"/>
  <c r="V426" i="1"/>
  <c r="V427" i="1"/>
  <c r="W424" i="1"/>
  <c r="W425" i="1"/>
  <c r="W426" i="1"/>
  <c r="W427" i="1"/>
  <c r="X425" i="1"/>
  <c r="Z424" i="1"/>
  <c r="Z425" i="1"/>
  <c r="Z426" i="1"/>
  <c r="Z42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41" i="1"/>
  <c r="R142" i="1"/>
  <c r="R143" i="1"/>
  <c r="R151" i="1"/>
  <c r="R152" i="1"/>
  <c r="R153" i="1"/>
  <c r="R183" i="1"/>
  <c r="R214" i="1"/>
  <c r="R245" i="1"/>
  <c r="R275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O423" i="1"/>
  <c r="X423" i="1" s="1"/>
  <c r="P423" i="1"/>
  <c r="Q423" i="1"/>
  <c r="S423" i="1"/>
  <c r="T423" i="1"/>
  <c r="U423" i="1"/>
  <c r="V423" i="1"/>
  <c r="W423" i="1"/>
  <c r="Z423" i="1"/>
  <c r="O421" i="1"/>
  <c r="X421" i="1" s="1"/>
  <c r="O422" i="1"/>
  <c r="X422" i="1" s="1"/>
  <c r="P421" i="1"/>
  <c r="P422" i="1"/>
  <c r="Q421" i="1"/>
  <c r="Q422" i="1"/>
  <c r="S421" i="1"/>
  <c r="S422" i="1"/>
  <c r="T421" i="1"/>
  <c r="T422" i="1"/>
  <c r="U421" i="1"/>
  <c r="U422" i="1"/>
  <c r="V421" i="1"/>
  <c r="V422" i="1"/>
  <c r="W421" i="1"/>
  <c r="W422" i="1"/>
  <c r="Z421" i="1"/>
  <c r="Z422" i="1"/>
  <c r="AA421" i="1" l="1"/>
  <c r="AB421" i="1" s="1"/>
  <c r="AA425" i="1"/>
  <c r="AB425" i="1" s="1"/>
  <c r="AA424" i="1"/>
  <c r="AB424" i="1" s="1"/>
  <c r="AA427" i="1"/>
  <c r="AB427" i="1" s="1"/>
  <c r="AA426" i="1"/>
  <c r="AB426" i="1" s="1"/>
  <c r="AA422" i="1"/>
  <c r="AB422" i="1" s="1"/>
  <c r="AA423" i="1"/>
  <c r="AB423" i="1" s="1"/>
  <c r="O413" i="1" l="1"/>
  <c r="X413" i="1" s="1"/>
  <c r="O414" i="1"/>
  <c r="X414" i="1" s="1"/>
  <c r="O415" i="1"/>
  <c r="X415" i="1" s="1"/>
  <c r="O416" i="1"/>
  <c r="X416" i="1" s="1"/>
  <c r="O417" i="1"/>
  <c r="X417" i="1" s="1"/>
  <c r="O418" i="1"/>
  <c r="X418" i="1" s="1"/>
  <c r="O419" i="1"/>
  <c r="X419" i="1" s="1"/>
  <c r="O420" i="1"/>
  <c r="X420" i="1" s="1"/>
  <c r="P413" i="1"/>
  <c r="P414" i="1"/>
  <c r="P415" i="1"/>
  <c r="P416" i="1"/>
  <c r="P417" i="1"/>
  <c r="P418" i="1"/>
  <c r="P419" i="1"/>
  <c r="P420" i="1"/>
  <c r="Q413" i="1"/>
  <c r="Q414" i="1"/>
  <c r="Q415" i="1"/>
  <c r="Q416" i="1"/>
  <c r="Q417" i="1"/>
  <c r="Q418" i="1"/>
  <c r="Q419" i="1"/>
  <c r="Q420" i="1"/>
  <c r="S413" i="1"/>
  <c r="S414" i="1"/>
  <c r="S415" i="1"/>
  <c r="S416" i="1"/>
  <c r="S417" i="1"/>
  <c r="S418" i="1"/>
  <c r="S419" i="1"/>
  <c r="S420" i="1"/>
  <c r="T413" i="1"/>
  <c r="T414" i="1"/>
  <c r="T415" i="1"/>
  <c r="T416" i="1"/>
  <c r="T417" i="1"/>
  <c r="T418" i="1"/>
  <c r="T419" i="1"/>
  <c r="T420" i="1"/>
  <c r="U413" i="1"/>
  <c r="U414" i="1"/>
  <c r="U415" i="1"/>
  <c r="U416" i="1"/>
  <c r="U417" i="1"/>
  <c r="U418" i="1"/>
  <c r="U419" i="1"/>
  <c r="U420" i="1"/>
  <c r="V413" i="1"/>
  <c r="V414" i="1"/>
  <c r="V415" i="1"/>
  <c r="V416" i="1"/>
  <c r="V417" i="1"/>
  <c r="V418" i="1"/>
  <c r="V419" i="1"/>
  <c r="V420" i="1"/>
  <c r="W413" i="1"/>
  <c r="W414" i="1"/>
  <c r="W415" i="1"/>
  <c r="W416" i="1"/>
  <c r="W417" i="1"/>
  <c r="W418" i="1"/>
  <c r="W419" i="1"/>
  <c r="W420" i="1"/>
  <c r="Z413" i="1"/>
  <c r="Z414" i="1"/>
  <c r="Z415" i="1"/>
  <c r="Z416" i="1"/>
  <c r="Z417" i="1"/>
  <c r="Z418" i="1"/>
  <c r="Z419" i="1"/>
  <c r="Z420" i="1"/>
  <c r="O398" i="1"/>
  <c r="X398" i="1" s="1"/>
  <c r="O399" i="1"/>
  <c r="X399" i="1" s="1"/>
  <c r="O400" i="1"/>
  <c r="X400" i="1" s="1"/>
  <c r="O401" i="1"/>
  <c r="X401" i="1" s="1"/>
  <c r="O402" i="1"/>
  <c r="X402" i="1" s="1"/>
  <c r="O403" i="1"/>
  <c r="X403" i="1" s="1"/>
  <c r="O404" i="1"/>
  <c r="X404" i="1" s="1"/>
  <c r="O405" i="1"/>
  <c r="X405" i="1" s="1"/>
  <c r="O406" i="1"/>
  <c r="X406" i="1" s="1"/>
  <c r="O407" i="1"/>
  <c r="X407" i="1" s="1"/>
  <c r="O408" i="1"/>
  <c r="X408" i="1" s="1"/>
  <c r="O409" i="1"/>
  <c r="X409" i="1" s="1"/>
  <c r="O410" i="1"/>
  <c r="X410" i="1" s="1"/>
  <c r="O411" i="1"/>
  <c r="X411" i="1" s="1"/>
  <c r="O412" i="1"/>
  <c r="X412" i="1" s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365" i="1"/>
  <c r="O3" i="1"/>
  <c r="X3" i="1" s="1"/>
  <c r="O4" i="1"/>
  <c r="X4" i="1" s="1"/>
  <c r="O5" i="1"/>
  <c r="X5" i="1" s="1"/>
  <c r="O6" i="1"/>
  <c r="X6" i="1" s="1"/>
  <c r="O7" i="1"/>
  <c r="X7" i="1" s="1"/>
  <c r="O8" i="1"/>
  <c r="X8" i="1" s="1"/>
  <c r="O9" i="1"/>
  <c r="X9" i="1" s="1"/>
  <c r="O10" i="1"/>
  <c r="X10" i="1" s="1"/>
  <c r="O11" i="1"/>
  <c r="X11" i="1" s="1"/>
  <c r="O12" i="1"/>
  <c r="X12" i="1" s="1"/>
  <c r="O13" i="1"/>
  <c r="X13" i="1" s="1"/>
  <c r="O14" i="1"/>
  <c r="X14" i="1" s="1"/>
  <c r="O15" i="1"/>
  <c r="X15" i="1" s="1"/>
  <c r="O16" i="1"/>
  <c r="X16" i="1" s="1"/>
  <c r="O17" i="1"/>
  <c r="X17" i="1" s="1"/>
  <c r="O18" i="1"/>
  <c r="X18" i="1" s="1"/>
  <c r="O19" i="1"/>
  <c r="X19" i="1" s="1"/>
  <c r="O20" i="1"/>
  <c r="X20" i="1" s="1"/>
  <c r="O21" i="1"/>
  <c r="X21" i="1" s="1"/>
  <c r="O22" i="1"/>
  <c r="X22" i="1" s="1"/>
  <c r="O23" i="1"/>
  <c r="X23" i="1" s="1"/>
  <c r="O24" i="1"/>
  <c r="X24" i="1" s="1"/>
  <c r="O25" i="1"/>
  <c r="X25" i="1" s="1"/>
  <c r="O26" i="1"/>
  <c r="X26" i="1" s="1"/>
  <c r="O27" i="1"/>
  <c r="X27" i="1" s="1"/>
  <c r="O28" i="1"/>
  <c r="X28" i="1" s="1"/>
  <c r="O29" i="1"/>
  <c r="X29" i="1" s="1"/>
  <c r="O30" i="1"/>
  <c r="X30" i="1" s="1"/>
  <c r="O31" i="1"/>
  <c r="X31" i="1" s="1"/>
  <c r="O32" i="1"/>
  <c r="X32" i="1" s="1"/>
  <c r="O33" i="1"/>
  <c r="X33" i="1" s="1"/>
  <c r="O34" i="1"/>
  <c r="X34" i="1" s="1"/>
  <c r="O35" i="1"/>
  <c r="X35" i="1" s="1"/>
  <c r="O36" i="1"/>
  <c r="X36" i="1" s="1"/>
  <c r="O37" i="1"/>
  <c r="X37" i="1" s="1"/>
  <c r="O38" i="1"/>
  <c r="X38" i="1" s="1"/>
  <c r="O39" i="1"/>
  <c r="X39" i="1" s="1"/>
  <c r="O40" i="1"/>
  <c r="X40" i="1" s="1"/>
  <c r="O41" i="1"/>
  <c r="X41" i="1" s="1"/>
  <c r="O42" i="1"/>
  <c r="X42" i="1" s="1"/>
  <c r="O43" i="1"/>
  <c r="X43" i="1" s="1"/>
  <c r="O44" i="1"/>
  <c r="X44" i="1" s="1"/>
  <c r="O45" i="1"/>
  <c r="X45" i="1" s="1"/>
  <c r="O46" i="1"/>
  <c r="X46" i="1" s="1"/>
  <c r="O47" i="1"/>
  <c r="X47" i="1" s="1"/>
  <c r="O48" i="1"/>
  <c r="X48" i="1" s="1"/>
  <c r="O49" i="1"/>
  <c r="X49" i="1" s="1"/>
  <c r="O50" i="1"/>
  <c r="X50" i="1" s="1"/>
  <c r="O51" i="1"/>
  <c r="X51" i="1" s="1"/>
  <c r="O52" i="1"/>
  <c r="X52" i="1" s="1"/>
  <c r="O53" i="1"/>
  <c r="X53" i="1" s="1"/>
  <c r="O54" i="1"/>
  <c r="X54" i="1" s="1"/>
  <c r="O55" i="1"/>
  <c r="X55" i="1" s="1"/>
  <c r="O56" i="1"/>
  <c r="X56" i="1" s="1"/>
  <c r="O57" i="1"/>
  <c r="X57" i="1" s="1"/>
  <c r="O58" i="1"/>
  <c r="X58" i="1" s="1"/>
  <c r="O59" i="1"/>
  <c r="X59" i="1" s="1"/>
  <c r="O60" i="1"/>
  <c r="X60" i="1" s="1"/>
  <c r="O61" i="1"/>
  <c r="X61" i="1" s="1"/>
  <c r="O62" i="1"/>
  <c r="X62" i="1" s="1"/>
  <c r="O63" i="1"/>
  <c r="X63" i="1" s="1"/>
  <c r="O64" i="1"/>
  <c r="X64" i="1" s="1"/>
  <c r="O65" i="1"/>
  <c r="X65" i="1" s="1"/>
  <c r="O66" i="1"/>
  <c r="X66" i="1" s="1"/>
  <c r="O67" i="1"/>
  <c r="X67" i="1" s="1"/>
  <c r="O68" i="1"/>
  <c r="X68" i="1" s="1"/>
  <c r="O69" i="1"/>
  <c r="X69" i="1" s="1"/>
  <c r="O70" i="1"/>
  <c r="X70" i="1" s="1"/>
  <c r="O71" i="1"/>
  <c r="X71" i="1" s="1"/>
  <c r="O72" i="1"/>
  <c r="X72" i="1" s="1"/>
  <c r="O73" i="1"/>
  <c r="X73" i="1" s="1"/>
  <c r="O74" i="1"/>
  <c r="X74" i="1" s="1"/>
  <c r="O75" i="1"/>
  <c r="X75" i="1" s="1"/>
  <c r="O76" i="1"/>
  <c r="X76" i="1" s="1"/>
  <c r="O77" i="1"/>
  <c r="X77" i="1" s="1"/>
  <c r="O78" i="1"/>
  <c r="X78" i="1" s="1"/>
  <c r="O79" i="1"/>
  <c r="X79" i="1" s="1"/>
  <c r="O80" i="1"/>
  <c r="X80" i="1" s="1"/>
  <c r="O81" i="1"/>
  <c r="X81" i="1" s="1"/>
  <c r="O82" i="1"/>
  <c r="X82" i="1" s="1"/>
  <c r="O83" i="1"/>
  <c r="X83" i="1" s="1"/>
  <c r="O84" i="1"/>
  <c r="X84" i="1" s="1"/>
  <c r="O85" i="1"/>
  <c r="X85" i="1" s="1"/>
  <c r="O86" i="1"/>
  <c r="X86" i="1" s="1"/>
  <c r="O87" i="1"/>
  <c r="X87" i="1" s="1"/>
  <c r="O88" i="1"/>
  <c r="X88" i="1" s="1"/>
  <c r="O89" i="1"/>
  <c r="X89" i="1" s="1"/>
  <c r="O90" i="1"/>
  <c r="X90" i="1" s="1"/>
  <c r="O91" i="1"/>
  <c r="X91" i="1" s="1"/>
  <c r="O92" i="1"/>
  <c r="X92" i="1" s="1"/>
  <c r="O93" i="1"/>
  <c r="X93" i="1" s="1"/>
  <c r="O94" i="1"/>
  <c r="X94" i="1" s="1"/>
  <c r="O95" i="1"/>
  <c r="X95" i="1" s="1"/>
  <c r="O96" i="1"/>
  <c r="X96" i="1" s="1"/>
  <c r="O97" i="1"/>
  <c r="X97" i="1" s="1"/>
  <c r="O98" i="1"/>
  <c r="X98" i="1" s="1"/>
  <c r="O99" i="1"/>
  <c r="X99" i="1" s="1"/>
  <c r="O100" i="1"/>
  <c r="X100" i="1" s="1"/>
  <c r="O101" i="1"/>
  <c r="X101" i="1" s="1"/>
  <c r="O102" i="1"/>
  <c r="X102" i="1" s="1"/>
  <c r="O103" i="1"/>
  <c r="X103" i="1" s="1"/>
  <c r="O104" i="1"/>
  <c r="X104" i="1" s="1"/>
  <c r="O105" i="1"/>
  <c r="X105" i="1" s="1"/>
  <c r="O106" i="1"/>
  <c r="X106" i="1" s="1"/>
  <c r="O107" i="1"/>
  <c r="X107" i="1" s="1"/>
  <c r="O108" i="1"/>
  <c r="X108" i="1" s="1"/>
  <c r="O109" i="1"/>
  <c r="X109" i="1" s="1"/>
  <c r="O110" i="1"/>
  <c r="X110" i="1" s="1"/>
  <c r="O111" i="1"/>
  <c r="X111" i="1" s="1"/>
  <c r="O112" i="1"/>
  <c r="X112" i="1" s="1"/>
  <c r="O113" i="1"/>
  <c r="X113" i="1" s="1"/>
  <c r="O114" i="1"/>
  <c r="X114" i="1" s="1"/>
  <c r="O115" i="1"/>
  <c r="X115" i="1" s="1"/>
  <c r="O116" i="1"/>
  <c r="X116" i="1" s="1"/>
  <c r="O117" i="1"/>
  <c r="X117" i="1" s="1"/>
  <c r="O118" i="1"/>
  <c r="X118" i="1" s="1"/>
  <c r="O119" i="1"/>
  <c r="X119" i="1" s="1"/>
  <c r="O120" i="1"/>
  <c r="X120" i="1" s="1"/>
  <c r="O121" i="1"/>
  <c r="X121" i="1" s="1"/>
  <c r="O122" i="1"/>
  <c r="X122" i="1" s="1"/>
  <c r="O123" i="1"/>
  <c r="X123" i="1" s="1"/>
  <c r="O124" i="1"/>
  <c r="X124" i="1" s="1"/>
  <c r="O125" i="1"/>
  <c r="X125" i="1" s="1"/>
  <c r="O126" i="1"/>
  <c r="X126" i="1" s="1"/>
  <c r="O127" i="1"/>
  <c r="X127" i="1" s="1"/>
  <c r="O128" i="1"/>
  <c r="X128" i="1" s="1"/>
  <c r="O129" i="1"/>
  <c r="X129" i="1" s="1"/>
  <c r="O130" i="1"/>
  <c r="X130" i="1" s="1"/>
  <c r="O131" i="1"/>
  <c r="X131" i="1" s="1"/>
  <c r="O132" i="1"/>
  <c r="X132" i="1" s="1"/>
  <c r="O133" i="1"/>
  <c r="X133" i="1" s="1"/>
  <c r="O134" i="1"/>
  <c r="X134" i="1" s="1"/>
  <c r="O135" i="1"/>
  <c r="X135" i="1" s="1"/>
  <c r="O136" i="1"/>
  <c r="X136" i="1" s="1"/>
  <c r="O137" i="1"/>
  <c r="X137" i="1" s="1"/>
  <c r="O138" i="1"/>
  <c r="X138" i="1" s="1"/>
  <c r="O139" i="1"/>
  <c r="X139" i="1" s="1"/>
  <c r="O140" i="1"/>
  <c r="X140" i="1" s="1"/>
  <c r="O141" i="1"/>
  <c r="X141" i="1" s="1"/>
  <c r="O142" i="1"/>
  <c r="X142" i="1" s="1"/>
  <c r="O143" i="1"/>
  <c r="X143" i="1" s="1"/>
  <c r="O144" i="1"/>
  <c r="X144" i="1" s="1"/>
  <c r="O145" i="1"/>
  <c r="X145" i="1" s="1"/>
  <c r="O146" i="1"/>
  <c r="X146" i="1" s="1"/>
  <c r="O147" i="1"/>
  <c r="X147" i="1" s="1"/>
  <c r="O148" i="1"/>
  <c r="X148" i="1" s="1"/>
  <c r="O149" i="1"/>
  <c r="X149" i="1" s="1"/>
  <c r="O150" i="1"/>
  <c r="X150" i="1" s="1"/>
  <c r="O151" i="1"/>
  <c r="X151" i="1" s="1"/>
  <c r="O152" i="1"/>
  <c r="X152" i="1" s="1"/>
  <c r="O153" i="1"/>
  <c r="X153" i="1" s="1"/>
  <c r="O154" i="1"/>
  <c r="X154" i="1" s="1"/>
  <c r="O155" i="1"/>
  <c r="X155" i="1" s="1"/>
  <c r="O156" i="1"/>
  <c r="X156" i="1" s="1"/>
  <c r="O157" i="1"/>
  <c r="X157" i="1" s="1"/>
  <c r="O158" i="1"/>
  <c r="X158" i="1" s="1"/>
  <c r="O159" i="1"/>
  <c r="X159" i="1" s="1"/>
  <c r="O160" i="1"/>
  <c r="X160" i="1" s="1"/>
  <c r="O161" i="1"/>
  <c r="X161" i="1" s="1"/>
  <c r="O162" i="1"/>
  <c r="X162" i="1" s="1"/>
  <c r="O163" i="1"/>
  <c r="X163" i="1" s="1"/>
  <c r="O164" i="1"/>
  <c r="X164" i="1" s="1"/>
  <c r="O165" i="1"/>
  <c r="X165" i="1" s="1"/>
  <c r="O166" i="1"/>
  <c r="X166" i="1" s="1"/>
  <c r="O167" i="1"/>
  <c r="X167" i="1" s="1"/>
  <c r="O168" i="1"/>
  <c r="X168" i="1" s="1"/>
  <c r="O169" i="1"/>
  <c r="X169" i="1" s="1"/>
  <c r="O170" i="1"/>
  <c r="X170" i="1" s="1"/>
  <c r="O171" i="1"/>
  <c r="X171" i="1" s="1"/>
  <c r="O172" i="1"/>
  <c r="X172" i="1" s="1"/>
  <c r="O173" i="1"/>
  <c r="X173" i="1" s="1"/>
  <c r="O174" i="1"/>
  <c r="X174" i="1" s="1"/>
  <c r="O175" i="1"/>
  <c r="X175" i="1" s="1"/>
  <c r="O176" i="1"/>
  <c r="X176" i="1" s="1"/>
  <c r="O177" i="1"/>
  <c r="X177" i="1" s="1"/>
  <c r="O178" i="1"/>
  <c r="X178" i="1" s="1"/>
  <c r="O179" i="1"/>
  <c r="X179" i="1" s="1"/>
  <c r="O180" i="1"/>
  <c r="X180" i="1" s="1"/>
  <c r="O181" i="1"/>
  <c r="X181" i="1" s="1"/>
  <c r="O182" i="1"/>
  <c r="X182" i="1" s="1"/>
  <c r="O183" i="1"/>
  <c r="X183" i="1" s="1"/>
  <c r="O184" i="1"/>
  <c r="X184" i="1" s="1"/>
  <c r="O185" i="1"/>
  <c r="X185" i="1" s="1"/>
  <c r="O186" i="1"/>
  <c r="X186" i="1" s="1"/>
  <c r="O187" i="1"/>
  <c r="X187" i="1" s="1"/>
  <c r="O188" i="1"/>
  <c r="X188" i="1" s="1"/>
  <c r="O189" i="1"/>
  <c r="X189" i="1" s="1"/>
  <c r="O190" i="1"/>
  <c r="X190" i="1" s="1"/>
  <c r="O191" i="1"/>
  <c r="X191" i="1" s="1"/>
  <c r="O192" i="1"/>
  <c r="X192" i="1" s="1"/>
  <c r="O193" i="1"/>
  <c r="X193" i="1" s="1"/>
  <c r="O194" i="1"/>
  <c r="X194" i="1" s="1"/>
  <c r="O195" i="1"/>
  <c r="X195" i="1" s="1"/>
  <c r="O196" i="1"/>
  <c r="X196" i="1" s="1"/>
  <c r="O197" i="1"/>
  <c r="X197" i="1" s="1"/>
  <c r="O198" i="1"/>
  <c r="X198" i="1" s="1"/>
  <c r="O199" i="1"/>
  <c r="X199" i="1" s="1"/>
  <c r="O200" i="1"/>
  <c r="X200" i="1" s="1"/>
  <c r="O201" i="1"/>
  <c r="X201" i="1" s="1"/>
  <c r="O202" i="1"/>
  <c r="X202" i="1" s="1"/>
  <c r="O203" i="1"/>
  <c r="X203" i="1" s="1"/>
  <c r="O204" i="1"/>
  <c r="X204" i="1" s="1"/>
  <c r="O205" i="1"/>
  <c r="X205" i="1" s="1"/>
  <c r="O206" i="1"/>
  <c r="X206" i="1" s="1"/>
  <c r="O207" i="1"/>
  <c r="X207" i="1" s="1"/>
  <c r="O208" i="1"/>
  <c r="X208" i="1" s="1"/>
  <c r="O209" i="1"/>
  <c r="X209" i="1" s="1"/>
  <c r="O210" i="1"/>
  <c r="X210" i="1" s="1"/>
  <c r="O211" i="1"/>
  <c r="X211" i="1" s="1"/>
  <c r="O212" i="1"/>
  <c r="X212" i="1" s="1"/>
  <c r="O213" i="1"/>
  <c r="X213" i="1" s="1"/>
  <c r="O214" i="1"/>
  <c r="X214" i="1" s="1"/>
  <c r="O215" i="1"/>
  <c r="X215" i="1" s="1"/>
  <c r="O216" i="1"/>
  <c r="X216" i="1" s="1"/>
  <c r="O217" i="1"/>
  <c r="X217" i="1" s="1"/>
  <c r="O218" i="1"/>
  <c r="X218" i="1" s="1"/>
  <c r="O219" i="1"/>
  <c r="X219" i="1" s="1"/>
  <c r="O220" i="1"/>
  <c r="X220" i="1" s="1"/>
  <c r="O221" i="1"/>
  <c r="X221" i="1" s="1"/>
  <c r="O222" i="1"/>
  <c r="X222" i="1" s="1"/>
  <c r="O223" i="1"/>
  <c r="X223" i="1" s="1"/>
  <c r="O224" i="1"/>
  <c r="X224" i="1" s="1"/>
  <c r="O225" i="1"/>
  <c r="X225" i="1" s="1"/>
  <c r="O226" i="1"/>
  <c r="X226" i="1" s="1"/>
  <c r="O227" i="1"/>
  <c r="X227" i="1" s="1"/>
  <c r="O228" i="1"/>
  <c r="X228" i="1" s="1"/>
  <c r="O229" i="1"/>
  <c r="X229" i="1" s="1"/>
  <c r="O230" i="1"/>
  <c r="X230" i="1" s="1"/>
  <c r="O231" i="1"/>
  <c r="X231" i="1" s="1"/>
  <c r="O232" i="1"/>
  <c r="X232" i="1" s="1"/>
  <c r="O233" i="1"/>
  <c r="X233" i="1" s="1"/>
  <c r="O234" i="1"/>
  <c r="X234" i="1" s="1"/>
  <c r="O235" i="1"/>
  <c r="X235" i="1" s="1"/>
  <c r="O236" i="1"/>
  <c r="X236" i="1" s="1"/>
  <c r="O237" i="1"/>
  <c r="X237" i="1" s="1"/>
  <c r="O238" i="1"/>
  <c r="X238" i="1" s="1"/>
  <c r="O239" i="1"/>
  <c r="X239" i="1" s="1"/>
  <c r="O240" i="1"/>
  <c r="X240" i="1" s="1"/>
  <c r="O241" i="1"/>
  <c r="X241" i="1" s="1"/>
  <c r="O242" i="1"/>
  <c r="X242" i="1" s="1"/>
  <c r="O243" i="1"/>
  <c r="X243" i="1" s="1"/>
  <c r="O244" i="1"/>
  <c r="X244" i="1" s="1"/>
  <c r="O245" i="1"/>
  <c r="X245" i="1" s="1"/>
  <c r="O246" i="1"/>
  <c r="X246" i="1" s="1"/>
  <c r="O247" i="1"/>
  <c r="X247" i="1" s="1"/>
  <c r="O248" i="1"/>
  <c r="X248" i="1" s="1"/>
  <c r="O249" i="1"/>
  <c r="X249" i="1" s="1"/>
  <c r="O250" i="1"/>
  <c r="X250" i="1" s="1"/>
  <c r="O251" i="1"/>
  <c r="X251" i="1" s="1"/>
  <c r="O252" i="1"/>
  <c r="X252" i="1" s="1"/>
  <c r="O253" i="1"/>
  <c r="X253" i="1" s="1"/>
  <c r="O254" i="1"/>
  <c r="X254" i="1" s="1"/>
  <c r="O255" i="1"/>
  <c r="X255" i="1" s="1"/>
  <c r="O256" i="1"/>
  <c r="X256" i="1" s="1"/>
  <c r="O257" i="1"/>
  <c r="X257" i="1" s="1"/>
  <c r="O258" i="1"/>
  <c r="X258" i="1" s="1"/>
  <c r="O259" i="1"/>
  <c r="X259" i="1" s="1"/>
  <c r="O260" i="1"/>
  <c r="X260" i="1" s="1"/>
  <c r="O261" i="1"/>
  <c r="X261" i="1" s="1"/>
  <c r="O262" i="1"/>
  <c r="X262" i="1" s="1"/>
  <c r="O263" i="1"/>
  <c r="X263" i="1" s="1"/>
  <c r="O264" i="1"/>
  <c r="X264" i="1" s="1"/>
  <c r="O265" i="1"/>
  <c r="X265" i="1" s="1"/>
  <c r="O266" i="1"/>
  <c r="X266" i="1" s="1"/>
  <c r="O267" i="1"/>
  <c r="X267" i="1" s="1"/>
  <c r="O268" i="1"/>
  <c r="X268" i="1" s="1"/>
  <c r="O269" i="1"/>
  <c r="X269" i="1" s="1"/>
  <c r="O270" i="1"/>
  <c r="X270" i="1" s="1"/>
  <c r="O271" i="1"/>
  <c r="X271" i="1" s="1"/>
  <c r="O272" i="1"/>
  <c r="X272" i="1" s="1"/>
  <c r="O273" i="1"/>
  <c r="X273" i="1" s="1"/>
  <c r="O274" i="1"/>
  <c r="X274" i="1" s="1"/>
  <c r="O275" i="1"/>
  <c r="X275" i="1" s="1"/>
  <c r="O276" i="1"/>
  <c r="X276" i="1" s="1"/>
  <c r="O277" i="1"/>
  <c r="X277" i="1" s="1"/>
  <c r="O278" i="1"/>
  <c r="X278" i="1" s="1"/>
  <c r="O279" i="1"/>
  <c r="X279" i="1" s="1"/>
  <c r="O280" i="1"/>
  <c r="X280" i="1" s="1"/>
  <c r="O281" i="1"/>
  <c r="X281" i="1" s="1"/>
  <c r="O282" i="1"/>
  <c r="X282" i="1" s="1"/>
  <c r="O283" i="1"/>
  <c r="X283" i="1" s="1"/>
  <c r="O284" i="1"/>
  <c r="X284" i="1" s="1"/>
  <c r="O285" i="1"/>
  <c r="X285" i="1" s="1"/>
  <c r="O286" i="1"/>
  <c r="X286" i="1" s="1"/>
  <c r="O287" i="1"/>
  <c r="X287" i="1" s="1"/>
  <c r="O288" i="1"/>
  <c r="X288" i="1" s="1"/>
  <c r="O289" i="1"/>
  <c r="X289" i="1" s="1"/>
  <c r="O290" i="1"/>
  <c r="X290" i="1" s="1"/>
  <c r="O291" i="1"/>
  <c r="X291" i="1" s="1"/>
  <c r="O292" i="1"/>
  <c r="X292" i="1" s="1"/>
  <c r="O293" i="1"/>
  <c r="X293" i="1" s="1"/>
  <c r="O294" i="1"/>
  <c r="X294" i="1" s="1"/>
  <c r="O295" i="1"/>
  <c r="X295" i="1" s="1"/>
  <c r="O296" i="1"/>
  <c r="X296" i="1" s="1"/>
  <c r="O297" i="1"/>
  <c r="X297" i="1" s="1"/>
  <c r="O298" i="1"/>
  <c r="X298" i="1" s="1"/>
  <c r="O299" i="1"/>
  <c r="X299" i="1" s="1"/>
  <c r="O300" i="1"/>
  <c r="X300" i="1" s="1"/>
  <c r="O301" i="1"/>
  <c r="X301" i="1" s="1"/>
  <c r="O302" i="1"/>
  <c r="X302" i="1" s="1"/>
  <c r="O303" i="1"/>
  <c r="X303" i="1" s="1"/>
  <c r="O304" i="1"/>
  <c r="X304" i="1" s="1"/>
  <c r="O305" i="1"/>
  <c r="X305" i="1" s="1"/>
  <c r="O306" i="1"/>
  <c r="X306" i="1" s="1"/>
  <c r="O307" i="1"/>
  <c r="X307" i="1" s="1"/>
  <c r="O308" i="1"/>
  <c r="X308" i="1" s="1"/>
  <c r="O309" i="1"/>
  <c r="X309" i="1" s="1"/>
  <c r="O310" i="1"/>
  <c r="X310" i="1" s="1"/>
  <c r="O311" i="1"/>
  <c r="X311" i="1" s="1"/>
  <c r="O312" i="1"/>
  <c r="X312" i="1" s="1"/>
  <c r="O313" i="1"/>
  <c r="X313" i="1" s="1"/>
  <c r="O314" i="1"/>
  <c r="X314" i="1" s="1"/>
  <c r="O315" i="1"/>
  <c r="X315" i="1" s="1"/>
  <c r="O316" i="1"/>
  <c r="X316" i="1" s="1"/>
  <c r="O317" i="1"/>
  <c r="X317" i="1" s="1"/>
  <c r="O318" i="1"/>
  <c r="X318" i="1" s="1"/>
  <c r="O319" i="1"/>
  <c r="X319" i="1" s="1"/>
  <c r="O320" i="1"/>
  <c r="X320" i="1" s="1"/>
  <c r="O321" i="1"/>
  <c r="X321" i="1" s="1"/>
  <c r="O322" i="1"/>
  <c r="X322" i="1" s="1"/>
  <c r="O323" i="1"/>
  <c r="X323" i="1" s="1"/>
  <c r="O324" i="1"/>
  <c r="X324" i="1" s="1"/>
  <c r="O325" i="1"/>
  <c r="X325" i="1" s="1"/>
  <c r="O326" i="1"/>
  <c r="X326" i="1" s="1"/>
  <c r="O327" i="1"/>
  <c r="X327" i="1" s="1"/>
  <c r="O328" i="1"/>
  <c r="X328" i="1" s="1"/>
  <c r="O329" i="1"/>
  <c r="X329" i="1" s="1"/>
  <c r="O330" i="1"/>
  <c r="X330" i="1" s="1"/>
  <c r="O331" i="1"/>
  <c r="X331" i="1" s="1"/>
  <c r="O332" i="1"/>
  <c r="X332" i="1" s="1"/>
  <c r="O333" i="1"/>
  <c r="X333" i="1" s="1"/>
  <c r="O334" i="1"/>
  <c r="X334" i="1" s="1"/>
  <c r="O335" i="1"/>
  <c r="X335" i="1" s="1"/>
  <c r="O336" i="1"/>
  <c r="X336" i="1" s="1"/>
  <c r="O337" i="1"/>
  <c r="X337" i="1" s="1"/>
  <c r="O338" i="1"/>
  <c r="X338" i="1" s="1"/>
  <c r="O339" i="1"/>
  <c r="X339" i="1" s="1"/>
  <c r="O340" i="1"/>
  <c r="X340" i="1" s="1"/>
  <c r="O341" i="1"/>
  <c r="X341" i="1" s="1"/>
  <c r="O342" i="1"/>
  <c r="X342" i="1" s="1"/>
  <c r="O343" i="1"/>
  <c r="X343" i="1" s="1"/>
  <c r="O344" i="1"/>
  <c r="X344" i="1" s="1"/>
  <c r="O345" i="1"/>
  <c r="X345" i="1" s="1"/>
  <c r="O346" i="1"/>
  <c r="X346" i="1" s="1"/>
  <c r="O347" i="1"/>
  <c r="X347" i="1" s="1"/>
  <c r="O348" i="1"/>
  <c r="X348" i="1" s="1"/>
  <c r="O349" i="1"/>
  <c r="X349" i="1" s="1"/>
  <c r="O350" i="1"/>
  <c r="X350" i="1" s="1"/>
  <c r="O351" i="1"/>
  <c r="X351" i="1" s="1"/>
  <c r="O352" i="1"/>
  <c r="X352" i="1" s="1"/>
  <c r="O353" i="1"/>
  <c r="X353" i="1" s="1"/>
  <c r="O354" i="1"/>
  <c r="X354" i="1" s="1"/>
  <c r="O355" i="1"/>
  <c r="X355" i="1" s="1"/>
  <c r="O356" i="1"/>
  <c r="X356" i="1" s="1"/>
  <c r="O357" i="1"/>
  <c r="X357" i="1" s="1"/>
  <c r="O358" i="1"/>
  <c r="X358" i="1" s="1"/>
  <c r="O359" i="1"/>
  <c r="X359" i="1" s="1"/>
  <c r="O360" i="1"/>
  <c r="X360" i="1" s="1"/>
  <c r="O361" i="1"/>
  <c r="X361" i="1" s="1"/>
  <c r="O362" i="1"/>
  <c r="X362" i="1" s="1"/>
  <c r="O363" i="1"/>
  <c r="X363" i="1" s="1"/>
  <c r="O364" i="1"/>
  <c r="X364" i="1" s="1"/>
  <c r="O365" i="1"/>
  <c r="X365" i="1" s="1"/>
  <c r="O366" i="1"/>
  <c r="X366" i="1" s="1"/>
  <c r="O367" i="1"/>
  <c r="X367" i="1" s="1"/>
  <c r="O368" i="1"/>
  <c r="X368" i="1" s="1"/>
  <c r="O369" i="1"/>
  <c r="X369" i="1" s="1"/>
  <c r="O370" i="1"/>
  <c r="X370" i="1" s="1"/>
  <c r="O371" i="1"/>
  <c r="X371" i="1" s="1"/>
  <c r="O372" i="1"/>
  <c r="X372" i="1" s="1"/>
  <c r="O373" i="1"/>
  <c r="X373" i="1" s="1"/>
  <c r="O374" i="1"/>
  <c r="X374" i="1" s="1"/>
  <c r="O375" i="1"/>
  <c r="X375" i="1" s="1"/>
  <c r="O376" i="1"/>
  <c r="X376" i="1" s="1"/>
  <c r="O377" i="1"/>
  <c r="X377" i="1" s="1"/>
  <c r="O378" i="1"/>
  <c r="X378" i="1" s="1"/>
  <c r="O379" i="1"/>
  <c r="X379" i="1" s="1"/>
  <c r="O380" i="1"/>
  <c r="X380" i="1" s="1"/>
  <c r="O381" i="1"/>
  <c r="X381" i="1" s="1"/>
  <c r="O382" i="1"/>
  <c r="X382" i="1" s="1"/>
  <c r="O383" i="1"/>
  <c r="X383" i="1" s="1"/>
  <c r="O384" i="1"/>
  <c r="X384" i="1" s="1"/>
  <c r="O385" i="1"/>
  <c r="X385" i="1" s="1"/>
  <c r="O386" i="1"/>
  <c r="X386" i="1" s="1"/>
  <c r="O387" i="1"/>
  <c r="X387" i="1" s="1"/>
  <c r="O388" i="1"/>
  <c r="X388" i="1" s="1"/>
  <c r="O389" i="1"/>
  <c r="X389" i="1" s="1"/>
  <c r="O390" i="1"/>
  <c r="X390" i="1" s="1"/>
  <c r="O391" i="1"/>
  <c r="X391" i="1" s="1"/>
  <c r="O392" i="1"/>
  <c r="X392" i="1" s="1"/>
  <c r="O393" i="1"/>
  <c r="X393" i="1" s="1"/>
  <c r="O394" i="1"/>
  <c r="X394" i="1" s="1"/>
  <c r="O395" i="1"/>
  <c r="X395" i="1" s="1"/>
  <c r="O396" i="1"/>
  <c r="X396" i="1" s="1"/>
  <c r="O397" i="1"/>
  <c r="X397" i="1" s="1"/>
  <c r="O2" i="1"/>
  <c r="X2" i="1" s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Q14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275" i="1"/>
  <c r="Z245" i="1"/>
  <c r="Z214" i="1"/>
  <c r="Z183" i="1"/>
  <c r="Z153" i="1"/>
  <c r="Z152" i="1"/>
  <c r="Z151" i="1"/>
  <c r="Z143" i="1"/>
  <c r="Z142" i="1"/>
  <c r="Z141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L124" i="1"/>
  <c r="L144" i="1"/>
  <c r="S122" i="1"/>
  <c r="V364" i="1"/>
  <c r="U364" i="1"/>
  <c r="T364" i="1"/>
  <c r="S364" i="1"/>
  <c r="Q364" i="1"/>
  <c r="P364" i="1"/>
  <c r="V363" i="1"/>
  <c r="U363" i="1"/>
  <c r="T363" i="1"/>
  <c r="S363" i="1"/>
  <c r="Q363" i="1"/>
  <c r="P363" i="1"/>
  <c r="V362" i="1"/>
  <c r="U362" i="1"/>
  <c r="T362" i="1"/>
  <c r="S362" i="1"/>
  <c r="Q362" i="1"/>
  <c r="P362" i="1"/>
  <c r="V361" i="1"/>
  <c r="U361" i="1"/>
  <c r="T361" i="1"/>
  <c r="S361" i="1"/>
  <c r="Q361" i="1"/>
  <c r="P361" i="1"/>
  <c r="V360" i="1"/>
  <c r="U360" i="1"/>
  <c r="T360" i="1"/>
  <c r="S360" i="1"/>
  <c r="Q360" i="1"/>
  <c r="P360" i="1"/>
  <c r="V359" i="1"/>
  <c r="U359" i="1"/>
  <c r="T359" i="1"/>
  <c r="S359" i="1"/>
  <c r="Q359" i="1"/>
  <c r="P359" i="1"/>
  <c r="V358" i="1"/>
  <c r="U358" i="1"/>
  <c r="T358" i="1"/>
  <c r="S358" i="1"/>
  <c r="Q358" i="1"/>
  <c r="P358" i="1"/>
  <c r="V357" i="1"/>
  <c r="U357" i="1"/>
  <c r="T357" i="1"/>
  <c r="S357" i="1"/>
  <c r="Q357" i="1"/>
  <c r="P357" i="1"/>
  <c r="V356" i="1"/>
  <c r="U356" i="1"/>
  <c r="T356" i="1"/>
  <c r="S356" i="1"/>
  <c r="Q356" i="1"/>
  <c r="P356" i="1"/>
  <c r="V355" i="1"/>
  <c r="U355" i="1"/>
  <c r="T355" i="1"/>
  <c r="S355" i="1"/>
  <c r="Q355" i="1"/>
  <c r="P355" i="1"/>
  <c r="V354" i="1"/>
  <c r="U354" i="1"/>
  <c r="T354" i="1"/>
  <c r="S354" i="1"/>
  <c r="Q354" i="1"/>
  <c r="P354" i="1"/>
  <c r="V353" i="1"/>
  <c r="U353" i="1"/>
  <c r="T353" i="1"/>
  <c r="S353" i="1"/>
  <c r="Q353" i="1"/>
  <c r="P353" i="1"/>
  <c r="V352" i="1"/>
  <c r="U352" i="1"/>
  <c r="T352" i="1"/>
  <c r="S352" i="1"/>
  <c r="Q352" i="1"/>
  <c r="P352" i="1"/>
  <c r="V351" i="1"/>
  <c r="U351" i="1"/>
  <c r="T351" i="1"/>
  <c r="S351" i="1"/>
  <c r="Q351" i="1"/>
  <c r="P351" i="1"/>
  <c r="V350" i="1"/>
  <c r="U350" i="1"/>
  <c r="T350" i="1"/>
  <c r="S350" i="1"/>
  <c r="Q350" i="1"/>
  <c r="P350" i="1"/>
  <c r="V349" i="1"/>
  <c r="U349" i="1"/>
  <c r="T349" i="1"/>
  <c r="S349" i="1"/>
  <c r="Q349" i="1"/>
  <c r="P349" i="1"/>
  <c r="V348" i="1"/>
  <c r="U348" i="1"/>
  <c r="T348" i="1"/>
  <c r="S348" i="1"/>
  <c r="Q348" i="1"/>
  <c r="P348" i="1"/>
  <c r="V347" i="1"/>
  <c r="U347" i="1"/>
  <c r="T347" i="1"/>
  <c r="S347" i="1"/>
  <c r="Q347" i="1"/>
  <c r="P347" i="1"/>
  <c r="V346" i="1"/>
  <c r="U346" i="1"/>
  <c r="T346" i="1"/>
  <c r="S346" i="1"/>
  <c r="Q346" i="1"/>
  <c r="P346" i="1"/>
  <c r="V345" i="1"/>
  <c r="U345" i="1"/>
  <c r="T345" i="1"/>
  <c r="S345" i="1"/>
  <c r="Q345" i="1"/>
  <c r="P345" i="1"/>
  <c r="V344" i="1"/>
  <c r="U344" i="1"/>
  <c r="T344" i="1"/>
  <c r="S344" i="1"/>
  <c r="Q344" i="1"/>
  <c r="P344" i="1"/>
  <c r="V343" i="1"/>
  <c r="U343" i="1"/>
  <c r="T343" i="1"/>
  <c r="S343" i="1"/>
  <c r="Q343" i="1"/>
  <c r="P343" i="1"/>
  <c r="V342" i="1"/>
  <c r="U342" i="1"/>
  <c r="T342" i="1"/>
  <c r="S342" i="1"/>
  <c r="Q342" i="1"/>
  <c r="P342" i="1"/>
  <c r="V341" i="1"/>
  <c r="U341" i="1"/>
  <c r="T341" i="1"/>
  <c r="S341" i="1"/>
  <c r="Q341" i="1"/>
  <c r="P341" i="1"/>
  <c r="V340" i="1"/>
  <c r="U340" i="1"/>
  <c r="T340" i="1"/>
  <c r="S340" i="1"/>
  <c r="Q340" i="1"/>
  <c r="P340" i="1"/>
  <c r="V339" i="1"/>
  <c r="U339" i="1"/>
  <c r="T339" i="1"/>
  <c r="S339" i="1"/>
  <c r="Q339" i="1"/>
  <c r="P339" i="1"/>
  <c r="V338" i="1"/>
  <c r="U338" i="1"/>
  <c r="T338" i="1"/>
  <c r="S338" i="1"/>
  <c r="Q338" i="1"/>
  <c r="P338" i="1"/>
  <c r="V337" i="1"/>
  <c r="U337" i="1"/>
  <c r="T337" i="1"/>
  <c r="S337" i="1"/>
  <c r="Q337" i="1"/>
  <c r="P337" i="1"/>
  <c r="V336" i="1"/>
  <c r="U336" i="1"/>
  <c r="T336" i="1"/>
  <c r="S336" i="1"/>
  <c r="Q336" i="1"/>
  <c r="P336" i="1"/>
  <c r="V335" i="1"/>
  <c r="U335" i="1"/>
  <c r="T335" i="1"/>
  <c r="S335" i="1"/>
  <c r="Q335" i="1"/>
  <c r="P335" i="1"/>
  <c r="V334" i="1"/>
  <c r="U334" i="1"/>
  <c r="T334" i="1"/>
  <c r="S334" i="1"/>
  <c r="Q334" i="1"/>
  <c r="P334" i="1"/>
  <c r="V333" i="1"/>
  <c r="U333" i="1"/>
  <c r="T333" i="1"/>
  <c r="S333" i="1"/>
  <c r="Q333" i="1"/>
  <c r="P333" i="1"/>
  <c r="V332" i="1"/>
  <c r="U332" i="1"/>
  <c r="T332" i="1"/>
  <c r="S332" i="1"/>
  <c r="Q332" i="1"/>
  <c r="P332" i="1"/>
  <c r="V331" i="1"/>
  <c r="U331" i="1"/>
  <c r="T331" i="1"/>
  <c r="S331" i="1"/>
  <c r="Q331" i="1"/>
  <c r="P331" i="1"/>
  <c r="V330" i="1"/>
  <c r="U330" i="1"/>
  <c r="T330" i="1"/>
  <c r="S330" i="1"/>
  <c r="Q330" i="1"/>
  <c r="P330" i="1"/>
  <c r="V329" i="1"/>
  <c r="U329" i="1"/>
  <c r="T329" i="1"/>
  <c r="S329" i="1"/>
  <c r="Q329" i="1"/>
  <c r="P329" i="1"/>
  <c r="V328" i="1"/>
  <c r="U328" i="1"/>
  <c r="T328" i="1"/>
  <c r="S328" i="1"/>
  <c r="Q328" i="1"/>
  <c r="P328" i="1"/>
  <c r="V327" i="1"/>
  <c r="U327" i="1"/>
  <c r="T327" i="1"/>
  <c r="S327" i="1"/>
  <c r="Q327" i="1"/>
  <c r="P327" i="1"/>
  <c r="V326" i="1"/>
  <c r="U326" i="1"/>
  <c r="T326" i="1"/>
  <c r="S326" i="1"/>
  <c r="Q326" i="1"/>
  <c r="P326" i="1"/>
  <c r="V325" i="1"/>
  <c r="U325" i="1"/>
  <c r="T325" i="1"/>
  <c r="S325" i="1"/>
  <c r="Q325" i="1"/>
  <c r="P325" i="1"/>
  <c r="V324" i="1"/>
  <c r="U324" i="1"/>
  <c r="T324" i="1"/>
  <c r="S324" i="1"/>
  <c r="Q324" i="1"/>
  <c r="P324" i="1"/>
  <c r="V323" i="1"/>
  <c r="U323" i="1"/>
  <c r="T323" i="1"/>
  <c r="S323" i="1"/>
  <c r="Q323" i="1"/>
  <c r="P323" i="1"/>
  <c r="V322" i="1"/>
  <c r="U322" i="1"/>
  <c r="T322" i="1"/>
  <c r="S322" i="1"/>
  <c r="Q322" i="1"/>
  <c r="P322" i="1"/>
  <c r="V321" i="1"/>
  <c r="U321" i="1"/>
  <c r="T321" i="1"/>
  <c r="S321" i="1"/>
  <c r="Q321" i="1"/>
  <c r="P321" i="1"/>
  <c r="V320" i="1"/>
  <c r="U320" i="1"/>
  <c r="T320" i="1"/>
  <c r="S320" i="1"/>
  <c r="Q320" i="1"/>
  <c r="P320" i="1"/>
  <c r="V319" i="1"/>
  <c r="U319" i="1"/>
  <c r="T319" i="1"/>
  <c r="S319" i="1"/>
  <c r="Q319" i="1"/>
  <c r="P319" i="1"/>
  <c r="V318" i="1"/>
  <c r="U318" i="1"/>
  <c r="T318" i="1"/>
  <c r="S318" i="1"/>
  <c r="Q318" i="1"/>
  <c r="P318" i="1"/>
  <c r="V317" i="1"/>
  <c r="U317" i="1"/>
  <c r="T317" i="1"/>
  <c r="S317" i="1"/>
  <c r="Q317" i="1"/>
  <c r="P317" i="1"/>
  <c r="V316" i="1"/>
  <c r="U316" i="1"/>
  <c r="T316" i="1"/>
  <c r="S316" i="1"/>
  <c r="Q316" i="1"/>
  <c r="P316" i="1"/>
  <c r="V315" i="1"/>
  <c r="U315" i="1"/>
  <c r="T315" i="1"/>
  <c r="S315" i="1"/>
  <c r="Q315" i="1"/>
  <c r="P315" i="1"/>
  <c r="V314" i="1"/>
  <c r="U314" i="1"/>
  <c r="T314" i="1"/>
  <c r="S314" i="1"/>
  <c r="Q314" i="1"/>
  <c r="P314" i="1"/>
  <c r="V313" i="1"/>
  <c r="U313" i="1"/>
  <c r="T313" i="1"/>
  <c r="S313" i="1"/>
  <c r="Q313" i="1"/>
  <c r="P313" i="1"/>
  <c r="V312" i="1"/>
  <c r="U312" i="1"/>
  <c r="T312" i="1"/>
  <c r="S312" i="1"/>
  <c r="Q312" i="1"/>
  <c r="P312" i="1"/>
  <c r="V311" i="1"/>
  <c r="U311" i="1"/>
  <c r="T311" i="1"/>
  <c r="S311" i="1"/>
  <c r="Q311" i="1"/>
  <c r="P311" i="1"/>
  <c r="V310" i="1"/>
  <c r="U310" i="1"/>
  <c r="T310" i="1"/>
  <c r="S310" i="1"/>
  <c r="Q310" i="1"/>
  <c r="P310" i="1"/>
  <c r="V309" i="1"/>
  <c r="U309" i="1"/>
  <c r="T309" i="1"/>
  <c r="S309" i="1"/>
  <c r="Q309" i="1"/>
  <c r="P309" i="1"/>
  <c r="V308" i="1"/>
  <c r="U308" i="1"/>
  <c r="T308" i="1"/>
  <c r="S308" i="1"/>
  <c r="Q308" i="1"/>
  <c r="P308" i="1"/>
  <c r="V307" i="1"/>
  <c r="U307" i="1"/>
  <c r="T307" i="1"/>
  <c r="S307" i="1"/>
  <c r="Q307" i="1"/>
  <c r="P307" i="1"/>
  <c r="V306" i="1"/>
  <c r="U306" i="1"/>
  <c r="T306" i="1"/>
  <c r="S306" i="1"/>
  <c r="Q306" i="1"/>
  <c r="P306" i="1"/>
  <c r="V305" i="1"/>
  <c r="U305" i="1"/>
  <c r="T305" i="1"/>
  <c r="S305" i="1"/>
  <c r="Q305" i="1"/>
  <c r="P305" i="1"/>
  <c r="V304" i="1"/>
  <c r="U304" i="1"/>
  <c r="T304" i="1"/>
  <c r="S304" i="1"/>
  <c r="Q304" i="1"/>
  <c r="P304" i="1"/>
  <c r="V303" i="1"/>
  <c r="U303" i="1"/>
  <c r="T303" i="1"/>
  <c r="V302" i="1"/>
  <c r="U302" i="1"/>
  <c r="T302" i="1"/>
  <c r="V301" i="1"/>
  <c r="U301" i="1"/>
  <c r="T301" i="1"/>
  <c r="V300" i="1"/>
  <c r="U300" i="1"/>
  <c r="T300" i="1"/>
  <c r="V299" i="1"/>
  <c r="U299" i="1"/>
  <c r="T299" i="1"/>
  <c r="V298" i="1"/>
  <c r="U298" i="1"/>
  <c r="T298" i="1"/>
  <c r="V297" i="1"/>
  <c r="U297" i="1"/>
  <c r="T297" i="1"/>
  <c r="V296" i="1"/>
  <c r="U296" i="1"/>
  <c r="T296" i="1"/>
  <c r="V295" i="1"/>
  <c r="U295" i="1"/>
  <c r="T295" i="1"/>
  <c r="V294" i="1"/>
  <c r="U294" i="1"/>
  <c r="T294" i="1"/>
  <c r="V293" i="1"/>
  <c r="U293" i="1"/>
  <c r="T293" i="1"/>
  <c r="V292" i="1"/>
  <c r="U292" i="1"/>
  <c r="T292" i="1"/>
  <c r="V291" i="1"/>
  <c r="U291" i="1"/>
  <c r="T291" i="1"/>
  <c r="V290" i="1"/>
  <c r="U290" i="1"/>
  <c r="T290" i="1"/>
  <c r="V289" i="1"/>
  <c r="U289" i="1"/>
  <c r="T289" i="1"/>
  <c r="V288" i="1"/>
  <c r="U288" i="1"/>
  <c r="T288" i="1"/>
  <c r="V287" i="1"/>
  <c r="U287" i="1"/>
  <c r="T287" i="1"/>
  <c r="V286" i="1"/>
  <c r="U286" i="1"/>
  <c r="T286" i="1"/>
  <c r="V285" i="1"/>
  <c r="U285" i="1"/>
  <c r="T285" i="1"/>
  <c r="V284" i="1"/>
  <c r="U284" i="1"/>
  <c r="T284" i="1"/>
  <c r="V283" i="1"/>
  <c r="U283" i="1"/>
  <c r="T283" i="1"/>
  <c r="V282" i="1"/>
  <c r="U282" i="1"/>
  <c r="T282" i="1"/>
  <c r="V281" i="1"/>
  <c r="U281" i="1"/>
  <c r="T281" i="1"/>
  <c r="V280" i="1"/>
  <c r="U280" i="1"/>
  <c r="T280" i="1"/>
  <c r="V279" i="1"/>
  <c r="U279" i="1"/>
  <c r="T279" i="1"/>
  <c r="V278" i="1"/>
  <c r="U278" i="1"/>
  <c r="T278" i="1"/>
  <c r="V277" i="1"/>
  <c r="U277" i="1"/>
  <c r="T277" i="1"/>
  <c r="V276" i="1"/>
  <c r="U276" i="1"/>
  <c r="T276" i="1"/>
  <c r="L276" i="1"/>
  <c r="V275" i="1"/>
  <c r="U275" i="1"/>
  <c r="T275" i="1"/>
  <c r="S275" i="1"/>
  <c r="Q275" i="1"/>
  <c r="P275" i="1"/>
  <c r="V274" i="1"/>
  <c r="U274" i="1"/>
  <c r="T274" i="1"/>
  <c r="V273" i="1"/>
  <c r="U273" i="1"/>
  <c r="T273" i="1"/>
  <c r="V272" i="1"/>
  <c r="U272" i="1"/>
  <c r="T272" i="1"/>
  <c r="V271" i="1"/>
  <c r="U271" i="1"/>
  <c r="T271" i="1"/>
  <c r="V270" i="1"/>
  <c r="U270" i="1"/>
  <c r="T270" i="1"/>
  <c r="V269" i="1"/>
  <c r="U269" i="1"/>
  <c r="T269" i="1"/>
  <c r="V268" i="1"/>
  <c r="U268" i="1"/>
  <c r="T268" i="1"/>
  <c r="V267" i="1"/>
  <c r="U267" i="1"/>
  <c r="T267" i="1"/>
  <c r="V266" i="1"/>
  <c r="U266" i="1"/>
  <c r="T266" i="1"/>
  <c r="V265" i="1"/>
  <c r="U265" i="1"/>
  <c r="T265" i="1"/>
  <c r="V264" i="1"/>
  <c r="U264" i="1"/>
  <c r="T264" i="1"/>
  <c r="V263" i="1"/>
  <c r="U263" i="1"/>
  <c r="T263" i="1"/>
  <c r="V262" i="1"/>
  <c r="U262" i="1"/>
  <c r="T262" i="1"/>
  <c r="V261" i="1"/>
  <c r="U261" i="1"/>
  <c r="T261" i="1"/>
  <c r="V260" i="1"/>
  <c r="U260" i="1"/>
  <c r="T260" i="1"/>
  <c r="V259" i="1"/>
  <c r="U259" i="1"/>
  <c r="T259" i="1"/>
  <c r="V258" i="1"/>
  <c r="U258" i="1"/>
  <c r="T258" i="1"/>
  <c r="V257" i="1"/>
  <c r="U257" i="1"/>
  <c r="T257" i="1"/>
  <c r="V256" i="1"/>
  <c r="U256" i="1"/>
  <c r="T256" i="1"/>
  <c r="V255" i="1"/>
  <c r="U255" i="1"/>
  <c r="T255" i="1"/>
  <c r="V254" i="1"/>
  <c r="U254" i="1"/>
  <c r="T254" i="1"/>
  <c r="V253" i="1"/>
  <c r="U253" i="1"/>
  <c r="T253" i="1"/>
  <c r="V252" i="1"/>
  <c r="U252" i="1"/>
  <c r="T252" i="1"/>
  <c r="V251" i="1"/>
  <c r="U251" i="1"/>
  <c r="T251" i="1"/>
  <c r="V250" i="1"/>
  <c r="U250" i="1"/>
  <c r="T250" i="1"/>
  <c r="V249" i="1"/>
  <c r="U249" i="1"/>
  <c r="T249" i="1"/>
  <c r="V248" i="1"/>
  <c r="U248" i="1"/>
  <c r="T248" i="1"/>
  <c r="V247" i="1"/>
  <c r="U247" i="1"/>
  <c r="T247" i="1"/>
  <c r="V246" i="1"/>
  <c r="U246" i="1"/>
  <c r="T246" i="1"/>
  <c r="L246" i="1"/>
  <c r="V245" i="1"/>
  <c r="U245" i="1"/>
  <c r="T245" i="1"/>
  <c r="S245" i="1"/>
  <c r="Q245" i="1"/>
  <c r="P245" i="1"/>
  <c r="V244" i="1"/>
  <c r="U244" i="1"/>
  <c r="T244" i="1"/>
  <c r="V243" i="1"/>
  <c r="U243" i="1"/>
  <c r="T243" i="1"/>
  <c r="V242" i="1"/>
  <c r="U242" i="1"/>
  <c r="T242" i="1"/>
  <c r="V241" i="1"/>
  <c r="U241" i="1"/>
  <c r="T241" i="1"/>
  <c r="V240" i="1"/>
  <c r="U240" i="1"/>
  <c r="T240" i="1"/>
  <c r="V239" i="1"/>
  <c r="U239" i="1"/>
  <c r="T239" i="1"/>
  <c r="V238" i="1"/>
  <c r="U238" i="1"/>
  <c r="T238" i="1"/>
  <c r="V237" i="1"/>
  <c r="U237" i="1"/>
  <c r="T237" i="1"/>
  <c r="V236" i="1"/>
  <c r="U236" i="1"/>
  <c r="T236" i="1"/>
  <c r="V235" i="1"/>
  <c r="U235" i="1"/>
  <c r="T235" i="1"/>
  <c r="V234" i="1"/>
  <c r="U234" i="1"/>
  <c r="T234" i="1"/>
  <c r="V233" i="1"/>
  <c r="U233" i="1"/>
  <c r="T233" i="1"/>
  <c r="V232" i="1"/>
  <c r="U232" i="1"/>
  <c r="T232" i="1"/>
  <c r="V231" i="1"/>
  <c r="U231" i="1"/>
  <c r="T231" i="1"/>
  <c r="V230" i="1"/>
  <c r="U230" i="1"/>
  <c r="T230" i="1"/>
  <c r="V229" i="1"/>
  <c r="U229" i="1"/>
  <c r="T229" i="1"/>
  <c r="V228" i="1"/>
  <c r="U228" i="1"/>
  <c r="T228" i="1"/>
  <c r="V227" i="1"/>
  <c r="U227" i="1"/>
  <c r="T227" i="1"/>
  <c r="V226" i="1"/>
  <c r="U226" i="1"/>
  <c r="T226" i="1"/>
  <c r="V225" i="1"/>
  <c r="U225" i="1"/>
  <c r="T225" i="1"/>
  <c r="V224" i="1"/>
  <c r="U224" i="1"/>
  <c r="T224" i="1"/>
  <c r="V223" i="1"/>
  <c r="U223" i="1"/>
  <c r="T223" i="1"/>
  <c r="V222" i="1"/>
  <c r="U222" i="1"/>
  <c r="T222" i="1"/>
  <c r="V221" i="1"/>
  <c r="U221" i="1"/>
  <c r="T221" i="1"/>
  <c r="V220" i="1"/>
  <c r="U220" i="1"/>
  <c r="T220" i="1"/>
  <c r="V219" i="1"/>
  <c r="U219" i="1"/>
  <c r="T219" i="1"/>
  <c r="V218" i="1"/>
  <c r="U218" i="1"/>
  <c r="T218" i="1"/>
  <c r="V217" i="1"/>
  <c r="U217" i="1"/>
  <c r="T217" i="1"/>
  <c r="V216" i="1"/>
  <c r="U216" i="1"/>
  <c r="T216" i="1"/>
  <c r="V215" i="1"/>
  <c r="U215" i="1"/>
  <c r="T215" i="1"/>
  <c r="L215" i="1"/>
  <c r="V214" i="1"/>
  <c r="U214" i="1"/>
  <c r="T214" i="1"/>
  <c r="S214" i="1"/>
  <c r="Q214" i="1"/>
  <c r="P214" i="1"/>
  <c r="V213" i="1"/>
  <c r="U213" i="1"/>
  <c r="T213" i="1"/>
  <c r="V212" i="1"/>
  <c r="U212" i="1"/>
  <c r="T212" i="1"/>
  <c r="V211" i="1"/>
  <c r="U211" i="1"/>
  <c r="T211" i="1"/>
  <c r="V210" i="1"/>
  <c r="U210" i="1"/>
  <c r="T210" i="1"/>
  <c r="V209" i="1"/>
  <c r="U209" i="1"/>
  <c r="T209" i="1"/>
  <c r="V208" i="1"/>
  <c r="U208" i="1"/>
  <c r="T208" i="1"/>
  <c r="V207" i="1"/>
  <c r="U207" i="1"/>
  <c r="T207" i="1"/>
  <c r="V206" i="1"/>
  <c r="U206" i="1"/>
  <c r="T206" i="1"/>
  <c r="V205" i="1"/>
  <c r="U205" i="1"/>
  <c r="T205" i="1"/>
  <c r="V204" i="1"/>
  <c r="U204" i="1"/>
  <c r="T204" i="1"/>
  <c r="V203" i="1"/>
  <c r="U203" i="1"/>
  <c r="T203" i="1"/>
  <c r="V202" i="1"/>
  <c r="U202" i="1"/>
  <c r="T202" i="1"/>
  <c r="V201" i="1"/>
  <c r="U201" i="1"/>
  <c r="T201" i="1"/>
  <c r="V200" i="1"/>
  <c r="U200" i="1"/>
  <c r="T200" i="1"/>
  <c r="V199" i="1"/>
  <c r="U199" i="1"/>
  <c r="T199" i="1"/>
  <c r="V198" i="1"/>
  <c r="U198" i="1"/>
  <c r="T198" i="1"/>
  <c r="V197" i="1"/>
  <c r="U197" i="1"/>
  <c r="T197" i="1"/>
  <c r="V196" i="1"/>
  <c r="U196" i="1"/>
  <c r="T196" i="1"/>
  <c r="V195" i="1"/>
  <c r="U195" i="1"/>
  <c r="T195" i="1"/>
  <c r="V194" i="1"/>
  <c r="U194" i="1"/>
  <c r="T194" i="1"/>
  <c r="V193" i="1"/>
  <c r="U193" i="1"/>
  <c r="T193" i="1"/>
  <c r="V192" i="1"/>
  <c r="U192" i="1"/>
  <c r="T192" i="1"/>
  <c r="V191" i="1"/>
  <c r="U191" i="1"/>
  <c r="T191" i="1"/>
  <c r="V190" i="1"/>
  <c r="U190" i="1"/>
  <c r="T190" i="1"/>
  <c r="V189" i="1"/>
  <c r="U189" i="1"/>
  <c r="T189" i="1"/>
  <c r="V188" i="1"/>
  <c r="U188" i="1"/>
  <c r="T188" i="1"/>
  <c r="V187" i="1"/>
  <c r="U187" i="1"/>
  <c r="T187" i="1"/>
  <c r="V186" i="1"/>
  <c r="U186" i="1"/>
  <c r="T186" i="1"/>
  <c r="V185" i="1"/>
  <c r="U185" i="1"/>
  <c r="T185" i="1"/>
  <c r="V184" i="1"/>
  <c r="U184" i="1"/>
  <c r="T184" i="1"/>
  <c r="L184" i="1"/>
  <c r="V183" i="1"/>
  <c r="U183" i="1"/>
  <c r="T183" i="1"/>
  <c r="S183" i="1"/>
  <c r="Q183" i="1"/>
  <c r="P183" i="1"/>
  <c r="V182" i="1"/>
  <c r="U182" i="1"/>
  <c r="T182" i="1"/>
  <c r="V181" i="1"/>
  <c r="U181" i="1"/>
  <c r="T181" i="1"/>
  <c r="V180" i="1"/>
  <c r="U180" i="1"/>
  <c r="T180" i="1"/>
  <c r="V179" i="1"/>
  <c r="U179" i="1"/>
  <c r="T179" i="1"/>
  <c r="V178" i="1"/>
  <c r="U178" i="1"/>
  <c r="T178" i="1"/>
  <c r="V177" i="1"/>
  <c r="U177" i="1"/>
  <c r="T177" i="1"/>
  <c r="V176" i="1"/>
  <c r="U176" i="1"/>
  <c r="T176" i="1"/>
  <c r="V175" i="1"/>
  <c r="U175" i="1"/>
  <c r="T175" i="1"/>
  <c r="V174" i="1"/>
  <c r="U174" i="1"/>
  <c r="T174" i="1"/>
  <c r="V173" i="1"/>
  <c r="U173" i="1"/>
  <c r="T173" i="1"/>
  <c r="V172" i="1"/>
  <c r="U172" i="1"/>
  <c r="T172" i="1"/>
  <c r="V171" i="1"/>
  <c r="U171" i="1"/>
  <c r="T171" i="1"/>
  <c r="V170" i="1"/>
  <c r="U170" i="1"/>
  <c r="T170" i="1"/>
  <c r="V169" i="1"/>
  <c r="U169" i="1"/>
  <c r="T169" i="1"/>
  <c r="V168" i="1"/>
  <c r="U168" i="1"/>
  <c r="T168" i="1"/>
  <c r="V167" i="1"/>
  <c r="U167" i="1"/>
  <c r="T167" i="1"/>
  <c r="V166" i="1"/>
  <c r="U166" i="1"/>
  <c r="T166" i="1"/>
  <c r="V165" i="1"/>
  <c r="U165" i="1"/>
  <c r="T165" i="1"/>
  <c r="V164" i="1"/>
  <c r="U164" i="1"/>
  <c r="T164" i="1"/>
  <c r="V163" i="1"/>
  <c r="U163" i="1"/>
  <c r="T163" i="1"/>
  <c r="V162" i="1"/>
  <c r="U162" i="1"/>
  <c r="T162" i="1"/>
  <c r="V161" i="1"/>
  <c r="U161" i="1"/>
  <c r="T161" i="1"/>
  <c r="V160" i="1"/>
  <c r="U160" i="1"/>
  <c r="T160" i="1"/>
  <c r="V159" i="1"/>
  <c r="U159" i="1"/>
  <c r="T159" i="1"/>
  <c r="V158" i="1"/>
  <c r="U158" i="1"/>
  <c r="T158" i="1"/>
  <c r="V157" i="1"/>
  <c r="U157" i="1"/>
  <c r="T157" i="1"/>
  <c r="V156" i="1"/>
  <c r="U156" i="1"/>
  <c r="T156" i="1"/>
  <c r="V155" i="1"/>
  <c r="U155" i="1"/>
  <c r="T155" i="1"/>
  <c r="V154" i="1"/>
  <c r="U154" i="1"/>
  <c r="T154" i="1"/>
  <c r="L154" i="1"/>
  <c r="V153" i="1"/>
  <c r="U153" i="1"/>
  <c r="T153" i="1"/>
  <c r="S153" i="1"/>
  <c r="Q153" i="1"/>
  <c r="P153" i="1"/>
  <c r="V152" i="1"/>
  <c r="U152" i="1"/>
  <c r="T152" i="1"/>
  <c r="V151" i="1"/>
  <c r="U151" i="1"/>
  <c r="T151" i="1"/>
  <c r="V150" i="1"/>
  <c r="U150" i="1"/>
  <c r="T150" i="1"/>
  <c r="V149" i="1"/>
  <c r="U149" i="1"/>
  <c r="T149" i="1"/>
  <c r="V148" i="1"/>
  <c r="U148" i="1"/>
  <c r="T148" i="1"/>
  <c r="V147" i="1"/>
  <c r="U147" i="1"/>
  <c r="T147" i="1"/>
  <c r="V146" i="1"/>
  <c r="U146" i="1"/>
  <c r="T146" i="1"/>
  <c r="V145" i="1"/>
  <c r="U145" i="1"/>
  <c r="T145" i="1"/>
  <c r="V144" i="1"/>
  <c r="U144" i="1"/>
  <c r="T144" i="1"/>
  <c r="V143" i="1"/>
  <c r="U143" i="1"/>
  <c r="T143" i="1"/>
  <c r="V142" i="1"/>
  <c r="U142" i="1"/>
  <c r="T142" i="1"/>
  <c r="V141" i="1"/>
  <c r="U141" i="1"/>
  <c r="T141" i="1"/>
  <c r="V140" i="1"/>
  <c r="U140" i="1"/>
  <c r="T140" i="1"/>
  <c r="V139" i="1"/>
  <c r="U139" i="1"/>
  <c r="T139" i="1"/>
  <c r="V138" i="1"/>
  <c r="U138" i="1"/>
  <c r="T138" i="1"/>
  <c r="V137" i="1"/>
  <c r="U137" i="1"/>
  <c r="T137" i="1"/>
  <c r="V136" i="1"/>
  <c r="U136" i="1"/>
  <c r="T136" i="1"/>
  <c r="V135" i="1"/>
  <c r="U135" i="1"/>
  <c r="T135" i="1"/>
  <c r="V134" i="1"/>
  <c r="U134" i="1"/>
  <c r="T134" i="1"/>
  <c r="V133" i="1"/>
  <c r="U133" i="1"/>
  <c r="T133" i="1"/>
  <c r="V132" i="1"/>
  <c r="U132" i="1"/>
  <c r="T132" i="1"/>
  <c r="V131" i="1"/>
  <c r="U131" i="1"/>
  <c r="T131" i="1"/>
  <c r="V130" i="1"/>
  <c r="U130" i="1"/>
  <c r="T130" i="1"/>
  <c r="V129" i="1"/>
  <c r="U129" i="1"/>
  <c r="T129" i="1"/>
  <c r="V128" i="1"/>
  <c r="U128" i="1"/>
  <c r="T128" i="1"/>
  <c r="V127" i="1"/>
  <c r="U127" i="1"/>
  <c r="T127" i="1"/>
  <c r="V126" i="1"/>
  <c r="U126" i="1"/>
  <c r="T126" i="1"/>
  <c r="V125" i="1"/>
  <c r="U125" i="1"/>
  <c r="T125" i="1"/>
  <c r="V124" i="1"/>
  <c r="U124" i="1"/>
  <c r="T124" i="1"/>
  <c r="V123" i="1"/>
  <c r="U123" i="1"/>
  <c r="T123" i="1"/>
  <c r="V122" i="1"/>
  <c r="U122" i="1"/>
  <c r="T122" i="1"/>
  <c r="V121" i="1"/>
  <c r="U121" i="1"/>
  <c r="T121" i="1"/>
  <c r="S121" i="1"/>
  <c r="Q121" i="1"/>
  <c r="P121" i="1"/>
  <c r="V120" i="1"/>
  <c r="U120" i="1"/>
  <c r="T120" i="1"/>
  <c r="S120" i="1"/>
  <c r="Q120" i="1"/>
  <c r="P120" i="1"/>
  <c r="V119" i="1"/>
  <c r="U119" i="1"/>
  <c r="T119" i="1"/>
  <c r="S119" i="1"/>
  <c r="Q119" i="1"/>
  <c r="P119" i="1"/>
  <c r="V118" i="1"/>
  <c r="U118" i="1"/>
  <c r="T118" i="1"/>
  <c r="S118" i="1"/>
  <c r="Q118" i="1"/>
  <c r="P118" i="1"/>
  <c r="V117" i="1"/>
  <c r="U117" i="1"/>
  <c r="T117" i="1"/>
  <c r="S117" i="1"/>
  <c r="Q117" i="1"/>
  <c r="P117" i="1"/>
  <c r="V116" i="1"/>
  <c r="U116" i="1"/>
  <c r="T116" i="1"/>
  <c r="S116" i="1"/>
  <c r="Q116" i="1"/>
  <c r="P116" i="1"/>
  <c r="V115" i="1"/>
  <c r="U115" i="1"/>
  <c r="T115" i="1"/>
  <c r="S115" i="1"/>
  <c r="Q115" i="1"/>
  <c r="P115" i="1"/>
  <c r="V114" i="1"/>
  <c r="U114" i="1"/>
  <c r="T114" i="1"/>
  <c r="S114" i="1"/>
  <c r="Q114" i="1"/>
  <c r="P114" i="1"/>
  <c r="V113" i="1"/>
  <c r="U113" i="1"/>
  <c r="T113" i="1"/>
  <c r="S113" i="1"/>
  <c r="Q113" i="1"/>
  <c r="P113" i="1"/>
  <c r="V112" i="1"/>
  <c r="U112" i="1"/>
  <c r="T112" i="1"/>
  <c r="S112" i="1"/>
  <c r="Q112" i="1"/>
  <c r="P112" i="1"/>
  <c r="V111" i="1"/>
  <c r="U111" i="1"/>
  <c r="T111" i="1"/>
  <c r="S111" i="1"/>
  <c r="Q111" i="1"/>
  <c r="P111" i="1"/>
  <c r="V110" i="1"/>
  <c r="U110" i="1"/>
  <c r="T110" i="1"/>
  <c r="S110" i="1"/>
  <c r="Q110" i="1"/>
  <c r="P110" i="1"/>
  <c r="V109" i="1"/>
  <c r="U109" i="1"/>
  <c r="T109" i="1"/>
  <c r="S109" i="1"/>
  <c r="Q109" i="1"/>
  <c r="P109" i="1"/>
  <c r="V108" i="1"/>
  <c r="U108" i="1"/>
  <c r="T108" i="1"/>
  <c r="S108" i="1"/>
  <c r="Q108" i="1"/>
  <c r="P108" i="1"/>
  <c r="V107" i="1"/>
  <c r="U107" i="1"/>
  <c r="T107" i="1"/>
  <c r="S107" i="1"/>
  <c r="Q107" i="1"/>
  <c r="P107" i="1"/>
  <c r="V106" i="1"/>
  <c r="U106" i="1"/>
  <c r="T106" i="1"/>
  <c r="S106" i="1"/>
  <c r="Q106" i="1"/>
  <c r="P106" i="1"/>
  <c r="V105" i="1"/>
  <c r="U105" i="1"/>
  <c r="T105" i="1"/>
  <c r="S105" i="1"/>
  <c r="Q105" i="1"/>
  <c r="P105" i="1"/>
  <c r="V104" i="1"/>
  <c r="U104" i="1"/>
  <c r="T104" i="1"/>
  <c r="S104" i="1"/>
  <c r="Q104" i="1"/>
  <c r="P104" i="1"/>
  <c r="V103" i="1"/>
  <c r="U103" i="1"/>
  <c r="T103" i="1"/>
  <c r="S103" i="1"/>
  <c r="Q103" i="1"/>
  <c r="P103" i="1"/>
  <c r="V102" i="1"/>
  <c r="U102" i="1"/>
  <c r="T102" i="1"/>
  <c r="S102" i="1"/>
  <c r="Q102" i="1"/>
  <c r="P102" i="1"/>
  <c r="V101" i="1"/>
  <c r="U101" i="1"/>
  <c r="T101" i="1"/>
  <c r="S101" i="1"/>
  <c r="Q101" i="1"/>
  <c r="P101" i="1"/>
  <c r="V100" i="1"/>
  <c r="U100" i="1"/>
  <c r="T100" i="1"/>
  <c r="S100" i="1"/>
  <c r="Q100" i="1"/>
  <c r="P100" i="1"/>
  <c r="V99" i="1"/>
  <c r="U99" i="1"/>
  <c r="T99" i="1"/>
  <c r="S99" i="1"/>
  <c r="Q99" i="1"/>
  <c r="P99" i="1"/>
  <c r="V98" i="1"/>
  <c r="U98" i="1"/>
  <c r="T98" i="1"/>
  <c r="S98" i="1"/>
  <c r="Q98" i="1"/>
  <c r="P98" i="1"/>
  <c r="V97" i="1"/>
  <c r="U97" i="1"/>
  <c r="T97" i="1"/>
  <c r="S97" i="1"/>
  <c r="Q97" i="1"/>
  <c r="P97" i="1"/>
  <c r="V96" i="1"/>
  <c r="U96" i="1"/>
  <c r="T96" i="1"/>
  <c r="S96" i="1"/>
  <c r="Q96" i="1"/>
  <c r="P96" i="1"/>
  <c r="V95" i="1"/>
  <c r="U95" i="1"/>
  <c r="T95" i="1"/>
  <c r="S95" i="1"/>
  <c r="Q95" i="1"/>
  <c r="P95" i="1"/>
  <c r="V94" i="1"/>
  <c r="U94" i="1"/>
  <c r="T94" i="1"/>
  <c r="S94" i="1"/>
  <c r="Q94" i="1"/>
  <c r="P94" i="1"/>
  <c r="V93" i="1"/>
  <c r="U93" i="1"/>
  <c r="T93" i="1"/>
  <c r="S93" i="1"/>
  <c r="Q93" i="1"/>
  <c r="P93" i="1"/>
  <c r="V92" i="1"/>
  <c r="U92" i="1"/>
  <c r="T92" i="1"/>
  <c r="S92" i="1"/>
  <c r="Q92" i="1"/>
  <c r="P92" i="1"/>
  <c r="V91" i="1"/>
  <c r="U91" i="1"/>
  <c r="T91" i="1"/>
  <c r="S91" i="1"/>
  <c r="Q91" i="1"/>
  <c r="P91" i="1"/>
  <c r="V90" i="1"/>
  <c r="U90" i="1"/>
  <c r="T90" i="1"/>
  <c r="S90" i="1"/>
  <c r="Q90" i="1"/>
  <c r="P90" i="1"/>
  <c r="V89" i="1"/>
  <c r="U89" i="1"/>
  <c r="T89" i="1"/>
  <c r="S89" i="1"/>
  <c r="Q89" i="1"/>
  <c r="P89" i="1"/>
  <c r="V88" i="1"/>
  <c r="U88" i="1"/>
  <c r="T88" i="1"/>
  <c r="S88" i="1"/>
  <c r="Q88" i="1"/>
  <c r="P88" i="1"/>
  <c r="V87" i="1"/>
  <c r="U87" i="1"/>
  <c r="T87" i="1"/>
  <c r="S87" i="1"/>
  <c r="Q87" i="1"/>
  <c r="P87" i="1"/>
  <c r="V86" i="1"/>
  <c r="U86" i="1"/>
  <c r="T86" i="1"/>
  <c r="S86" i="1"/>
  <c r="Q86" i="1"/>
  <c r="P86" i="1"/>
  <c r="V85" i="1"/>
  <c r="U85" i="1"/>
  <c r="T85" i="1"/>
  <c r="S85" i="1"/>
  <c r="Q85" i="1"/>
  <c r="P85" i="1"/>
  <c r="V84" i="1"/>
  <c r="U84" i="1"/>
  <c r="T84" i="1"/>
  <c r="S84" i="1"/>
  <c r="Q84" i="1"/>
  <c r="P84" i="1"/>
  <c r="V83" i="1"/>
  <c r="U83" i="1"/>
  <c r="T83" i="1"/>
  <c r="S83" i="1"/>
  <c r="Q83" i="1"/>
  <c r="P83" i="1"/>
  <c r="V82" i="1"/>
  <c r="U82" i="1"/>
  <c r="T82" i="1"/>
  <c r="S82" i="1"/>
  <c r="Q82" i="1"/>
  <c r="P82" i="1"/>
  <c r="V81" i="1"/>
  <c r="U81" i="1"/>
  <c r="T81" i="1"/>
  <c r="S81" i="1"/>
  <c r="Q81" i="1"/>
  <c r="P81" i="1"/>
  <c r="V80" i="1"/>
  <c r="U80" i="1"/>
  <c r="T80" i="1"/>
  <c r="S80" i="1"/>
  <c r="Q80" i="1"/>
  <c r="P80" i="1"/>
  <c r="V79" i="1"/>
  <c r="U79" i="1"/>
  <c r="T79" i="1"/>
  <c r="S79" i="1"/>
  <c r="Q79" i="1"/>
  <c r="P79" i="1"/>
  <c r="V78" i="1"/>
  <c r="U78" i="1"/>
  <c r="T78" i="1"/>
  <c r="S78" i="1"/>
  <c r="Q78" i="1"/>
  <c r="P78" i="1"/>
  <c r="V77" i="1"/>
  <c r="U77" i="1"/>
  <c r="T77" i="1"/>
  <c r="S77" i="1"/>
  <c r="Q77" i="1"/>
  <c r="P77" i="1"/>
  <c r="V76" i="1"/>
  <c r="U76" i="1"/>
  <c r="T76" i="1"/>
  <c r="S76" i="1"/>
  <c r="Q76" i="1"/>
  <c r="P76" i="1"/>
  <c r="V75" i="1"/>
  <c r="U75" i="1"/>
  <c r="T75" i="1"/>
  <c r="S75" i="1"/>
  <c r="Q75" i="1"/>
  <c r="P75" i="1"/>
  <c r="V74" i="1"/>
  <c r="U74" i="1"/>
  <c r="T74" i="1"/>
  <c r="S74" i="1"/>
  <c r="Q74" i="1"/>
  <c r="P74" i="1"/>
  <c r="V73" i="1"/>
  <c r="U73" i="1"/>
  <c r="T73" i="1"/>
  <c r="S73" i="1"/>
  <c r="Q73" i="1"/>
  <c r="P73" i="1"/>
  <c r="V72" i="1"/>
  <c r="U72" i="1"/>
  <c r="T72" i="1"/>
  <c r="S72" i="1"/>
  <c r="Q72" i="1"/>
  <c r="P72" i="1"/>
  <c r="V71" i="1"/>
  <c r="U71" i="1"/>
  <c r="T71" i="1"/>
  <c r="S71" i="1"/>
  <c r="Q71" i="1"/>
  <c r="P71" i="1"/>
  <c r="V70" i="1"/>
  <c r="U70" i="1"/>
  <c r="T70" i="1"/>
  <c r="S70" i="1"/>
  <c r="Q70" i="1"/>
  <c r="P70" i="1"/>
  <c r="V69" i="1"/>
  <c r="U69" i="1"/>
  <c r="T69" i="1"/>
  <c r="S69" i="1"/>
  <c r="Q69" i="1"/>
  <c r="P69" i="1"/>
  <c r="V68" i="1"/>
  <c r="U68" i="1"/>
  <c r="T68" i="1"/>
  <c r="S68" i="1"/>
  <c r="Q68" i="1"/>
  <c r="P68" i="1"/>
  <c r="V67" i="1"/>
  <c r="U67" i="1"/>
  <c r="T67" i="1"/>
  <c r="S67" i="1"/>
  <c r="Q67" i="1"/>
  <c r="P67" i="1"/>
  <c r="V66" i="1"/>
  <c r="U66" i="1"/>
  <c r="T66" i="1"/>
  <c r="S66" i="1"/>
  <c r="Q66" i="1"/>
  <c r="P66" i="1"/>
  <c r="V65" i="1"/>
  <c r="U65" i="1"/>
  <c r="T65" i="1"/>
  <c r="S65" i="1"/>
  <c r="Q65" i="1"/>
  <c r="P65" i="1"/>
  <c r="V64" i="1"/>
  <c r="U64" i="1"/>
  <c r="T64" i="1"/>
  <c r="S64" i="1"/>
  <c r="Q64" i="1"/>
  <c r="P64" i="1"/>
  <c r="V63" i="1"/>
  <c r="U63" i="1"/>
  <c r="T63" i="1"/>
  <c r="S63" i="1"/>
  <c r="Q63" i="1"/>
  <c r="P63" i="1"/>
  <c r="V62" i="1"/>
  <c r="U62" i="1"/>
  <c r="T62" i="1"/>
  <c r="S62" i="1"/>
  <c r="Q62" i="1"/>
  <c r="P62" i="1"/>
  <c r="V61" i="1"/>
  <c r="U61" i="1"/>
  <c r="T61" i="1"/>
  <c r="S61" i="1"/>
  <c r="Q61" i="1"/>
  <c r="P61" i="1"/>
  <c r="V60" i="1"/>
  <c r="U60" i="1"/>
  <c r="T60" i="1"/>
  <c r="S60" i="1"/>
  <c r="Q60" i="1"/>
  <c r="P60" i="1"/>
  <c r="V59" i="1"/>
  <c r="U59" i="1"/>
  <c r="T59" i="1"/>
  <c r="S59" i="1"/>
  <c r="Q59" i="1"/>
  <c r="P59" i="1"/>
  <c r="V58" i="1"/>
  <c r="U58" i="1"/>
  <c r="T58" i="1"/>
  <c r="S58" i="1"/>
  <c r="Q58" i="1"/>
  <c r="P58" i="1"/>
  <c r="V57" i="1"/>
  <c r="U57" i="1"/>
  <c r="T57" i="1"/>
  <c r="S57" i="1"/>
  <c r="Q57" i="1"/>
  <c r="P57" i="1"/>
  <c r="V56" i="1"/>
  <c r="U56" i="1"/>
  <c r="T56" i="1"/>
  <c r="S56" i="1"/>
  <c r="Q56" i="1"/>
  <c r="P56" i="1"/>
  <c r="V55" i="1"/>
  <c r="U55" i="1"/>
  <c r="T55" i="1"/>
  <c r="S55" i="1"/>
  <c r="Q55" i="1"/>
  <c r="P55" i="1"/>
  <c r="V54" i="1"/>
  <c r="U54" i="1"/>
  <c r="T54" i="1"/>
  <c r="S54" i="1"/>
  <c r="Q54" i="1"/>
  <c r="P54" i="1"/>
  <c r="V53" i="1"/>
  <c r="U53" i="1"/>
  <c r="T53" i="1"/>
  <c r="S53" i="1"/>
  <c r="Q53" i="1"/>
  <c r="P53" i="1"/>
  <c r="V52" i="1"/>
  <c r="U52" i="1"/>
  <c r="T52" i="1"/>
  <c r="S52" i="1"/>
  <c r="Q52" i="1"/>
  <c r="P52" i="1"/>
  <c r="V51" i="1"/>
  <c r="U51" i="1"/>
  <c r="T51" i="1"/>
  <c r="S51" i="1"/>
  <c r="Q51" i="1"/>
  <c r="P51" i="1"/>
  <c r="V50" i="1"/>
  <c r="U50" i="1"/>
  <c r="T50" i="1"/>
  <c r="S50" i="1"/>
  <c r="Q50" i="1"/>
  <c r="P50" i="1"/>
  <c r="V49" i="1"/>
  <c r="U49" i="1"/>
  <c r="T49" i="1"/>
  <c r="S49" i="1"/>
  <c r="Q49" i="1"/>
  <c r="P49" i="1"/>
  <c r="V48" i="1"/>
  <c r="U48" i="1"/>
  <c r="T48" i="1"/>
  <c r="S48" i="1"/>
  <c r="Q48" i="1"/>
  <c r="P48" i="1"/>
  <c r="V47" i="1"/>
  <c r="U47" i="1"/>
  <c r="T47" i="1"/>
  <c r="S47" i="1"/>
  <c r="Q47" i="1"/>
  <c r="P47" i="1"/>
  <c r="V46" i="1"/>
  <c r="U46" i="1"/>
  <c r="T46" i="1"/>
  <c r="S46" i="1"/>
  <c r="Q46" i="1"/>
  <c r="P46" i="1"/>
  <c r="V45" i="1"/>
  <c r="U45" i="1"/>
  <c r="T45" i="1"/>
  <c r="S45" i="1"/>
  <c r="Q45" i="1"/>
  <c r="P45" i="1"/>
  <c r="V44" i="1"/>
  <c r="U44" i="1"/>
  <c r="T44" i="1"/>
  <c r="S44" i="1"/>
  <c r="Q44" i="1"/>
  <c r="P44" i="1"/>
  <c r="V43" i="1"/>
  <c r="U43" i="1"/>
  <c r="T43" i="1"/>
  <c r="S43" i="1"/>
  <c r="Q43" i="1"/>
  <c r="P43" i="1"/>
  <c r="V42" i="1"/>
  <c r="U42" i="1"/>
  <c r="T42" i="1"/>
  <c r="S42" i="1"/>
  <c r="Q42" i="1"/>
  <c r="P42" i="1"/>
  <c r="V41" i="1"/>
  <c r="U41" i="1"/>
  <c r="T41" i="1"/>
  <c r="S41" i="1"/>
  <c r="Q41" i="1"/>
  <c r="P41" i="1"/>
  <c r="V40" i="1"/>
  <c r="U40" i="1"/>
  <c r="T40" i="1"/>
  <c r="S40" i="1"/>
  <c r="Q40" i="1"/>
  <c r="P40" i="1"/>
  <c r="V39" i="1"/>
  <c r="U39" i="1"/>
  <c r="T39" i="1"/>
  <c r="S39" i="1"/>
  <c r="Q39" i="1"/>
  <c r="P39" i="1"/>
  <c r="V38" i="1"/>
  <c r="U38" i="1"/>
  <c r="T38" i="1"/>
  <c r="S38" i="1"/>
  <c r="Q38" i="1"/>
  <c r="P38" i="1"/>
  <c r="V37" i="1"/>
  <c r="U37" i="1"/>
  <c r="T37" i="1"/>
  <c r="S37" i="1"/>
  <c r="Q37" i="1"/>
  <c r="P37" i="1"/>
  <c r="V36" i="1"/>
  <c r="U36" i="1"/>
  <c r="T36" i="1"/>
  <c r="S36" i="1"/>
  <c r="Q36" i="1"/>
  <c r="P36" i="1"/>
  <c r="V35" i="1"/>
  <c r="U35" i="1"/>
  <c r="T35" i="1"/>
  <c r="S35" i="1"/>
  <c r="Q35" i="1"/>
  <c r="P35" i="1"/>
  <c r="V34" i="1"/>
  <c r="U34" i="1"/>
  <c r="T34" i="1"/>
  <c r="S34" i="1"/>
  <c r="Q34" i="1"/>
  <c r="P34" i="1"/>
  <c r="V33" i="1"/>
  <c r="U33" i="1"/>
  <c r="T33" i="1"/>
  <c r="S33" i="1"/>
  <c r="Q33" i="1"/>
  <c r="P33" i="1"/>
  <c r="V32" i="1"/>
  <c r="U32" i="1"/>
  <c r="T32" i="1"/>
  <c r="S32" i="1"/>
  <c r="Q32" i="1"/>
  <c r="P32" i="1"/>
  <c r="V31" i="1"/>
  <c r="U31" i="1"/>
  <c r="T31" i="1"/>
  <c r="S31" i="1"/>
  <c r="Q31" i="1"/>
  <c r="P31" i="1"/>
  <c r="V30" i="1"/>
  <c r="U30" i="1"/>
  <c r="T30" i="1"/>
  <c r="S30" i="1"/>
  <c r="Q30" i="1"/>
  <c r="P30" i="1"/>
  <c r="V29" i="1"/>
  <c r="U29" i="1"/>
  <c r="T29" i="1"/>
  <c r="S29" i="1"/>
  <c r="Q29" i="1"/>
  <c r="P29" i="1"/>
  <c r="V28" i="1"/>
  <c r="U28" i="1"/>
  <c r="T28" i="1"/>
  <c r="S28" i="1"/>
  <c r="Q28" i="1"/>
  <c r="P28" i="1"/>
  <c r="V27" i="1"/>
  <c r="U27" i="1"/>
  <c r="T27" i="1"/>
  <c r="S27" i="1"/>
  <c r="Q27" i="1"/>
  <c r="P27" i="1"/>
  <c r="V26" i="1"/>
  <c r="U26" i="1"/>
  <c r="T26" i="1"/>
  <c r="S26" i="1"/>
  <c r="Q26" i="1"/>
  <c r="P26" i="1"/>
  <c r="V25" i="1"/>
  <c r="U25" i="1"/>
  <c r="T25" i="1"/>
  <c r="S25" i="1"/>
  <c r="Q25" i="1"/>
  <c r="P25" i="1"/>
  <c r="V24" i="1"/>
  <c r="U24" i="1"/>
  <c r="T24" i="1"/>
  <c r="S24" i="1"/>
  <c r="Q24" i="1"/>
  <c r="P24" i="1"/>
  <c r="V23" i="1"/>
  <c r="U23" i="1"/>
  <c r="T23" i="1"/>
  <c r="S23" i="1"/>
  <c r="Q23" i="1"/>
  <c r="P23" i="1"/>
  <c r="V22" i="1"/>
  <c r="U22" i="1"/>
  <c r="T22" i="1"/>
  <c r="S22" i="1"/>
  <c r="Q22" i="1"/>
  <c r="P22" i="1"/>
  <c r="V21" i="1"/>
  <c r="U21" i="1"/>
  <c r="T21" i="1"/>
  <c r="S21" i="1"/>
  <c r="Q21" i="1"/>
  <c r="P21" i="1"/>
  <c r="V20" i="1"/>
  <c r="U20" i="1"/>
  <c r="T20" i="1"/>
  <c r="S20" i="1"/>
  <c r="Q20" i="1"/>
  <c r="P20" i="1"/>
  <c r="V19" i="1"/>
  <c r="U19" i="1"/>
  <c r="T19" i="1"/>
  <c r="S19" i="1"/>
  <c r="Q19" i="1"/>
  <c r="P19" i="1"/>
  <c r="V18" i="1"/>
  <c r="U18" i="1"/>
  <c r="T18" i="1"/>
  <c r="S18" i="1"/>
  <c r="Q18" i="1"/>
  <c r="P18" i="1"/>
  <c r="V17" i="1"/>
  <c r="U17" i="1"/>
  <c r="T17" i="1"/>
  <c r="S17" i="1"/>
  <c r="Q17" i="1"/>
  <c r="P17" i="1"/>
  <c r="V16" i="1"/>
  <c r="U16" i="1"/>
  <c r="T16" i="1"/>
  <c r="S16" i="1"/>
  <c r="Q16" i="1"/>
  <c r="P16" i="1"/>
  <c r="V15" i="1"/>
  <c r="U15" i="1"/>
  <c r="T15" i="1"/>
  <c r="S15" i="1"/>
  <c r="Q15" i="1"/>
  <c r="P15" i="1"/>
  <c r="V14" i="1"/>
  <c r="U14" i="1"/>
  <c r="T14" i="1"/>
  <c r="S14" i="1"/>
  <c r="P14" i="1"/>
  <c r="V13" i="1"/>
  <c r="U13" i="1"/>
  <c r="T13" i="1"/>
  <c r="S13" i="1"/>
  <c r="Q13" i="1"/>
  <c r="P13" i="1"/>
  <c r="V12" i="1"/>
  <c r="U12" i="1"/>
  <c r="T12" i="1"/>
  <c r="S12" i="1"/>
  <c r="Q12" i="1"/>
  <c r="P12" i="1"/>
  <c r="V11" i="1"/>
  <c r="U11" i="1"/>
  <c r="T11" i="1"/>
  <c r="S11" i="1"/>
  <c r="Q11" i="1"/>
  <c r="P11" i="1"/>
  <c r="V10" i="1"/>
  <c r="U10" i="1"/>
  <c r="T10" i="1"/>
  <c r="S10" i="1"/>
  <c r="Q10" i="1"/>
  <c r="P10" i="1"/>
  <c r="V9" i="1"/>
  <c r="U9" i="1"/>
  <c r="T9" i="1"/>
  <c r="S9" i="1"/>
  <c r="Q9" i="1"/>
  <c r="P9" i="1"/>
  <c r="V8" i="1"/>
  <c r="U8" i="1"/>
  <c r="T8" i="1"/>
  <c r="S8" i="1"/>
  <c r="Q8" i="1"/>
  <c r="P8" i="1"/>
  <c r="V7" i="1"/>
  <c r="U7" i="1"/>
  <c r="T7" i="1"/>
  <c r="S7" i="1"/>
  <c r="Q7" i="1"/>
  <c r="P7" i="1"/>
  <c r="V6" i="1"/>
  <c r="U6" i="1"/>
  <c r="T6" i="1"/>
  <c r="S6" i="1"/>
  <c r="Q6" i="1"/>
  <c r="P6" i="1"/>
  <c r="V5" i="1"/>
  <c r="U5" i="1"/>
  <c r="T5" i="1"/>
  <c r="S5" i="1"/>
  <c r="Q5" i="1"/>
  <c r="P5" i="1"/>
  <c r="V4" i="1"/>
  <c r="U4" i="1"/>
  <c r="T4" i="1"/>
  <c r="S4" i="1"/>
  <c r="Q4" i="1"/>
  <c r="P4" i="1"/>
  <c r="V3" i="1"/>
  <c r="U3" i="1"/>
  <c r="T3" i="1"/>
  <c r="S3" i="1"/>
  <c r="Q3" i="1"/>
  <c r="P3" i="1"/>
  <c r="Z2" i="1"/>
  <c r="V2" i="1"/>
  <c r="U2" i="1"/>
  <c r="T2" i="1"/>
  <c r="S2" i="1"/>
  <c r="Q2" i="1"/>
  <c r="P2" i="1"/>
  <c r="Q246" i="1" l="1"/>
  <c r="R246" i="1"/>
  <c r="L125" i="1"/>
  <c r="Z125" i="1" s="1"/>
  <c r="R124" i="1"/>
  <c r="Z184" i="1"/>
  <c r="R184" i="1"/>
  <c r="L145" i="1"/>
  <c r="Z145" i="1" s="1"/>
  <c r="R144" i="1"/>
  <c r="Z215" i="1"/>
  <c r="R215" i="1"/>
  <c r="AA7" i="1"/>
  <c r="AB7" i="1" s="1"/>
  <c r="Q276" i="1"/>
  <c r="R276" i="1"/>
  <c r="AA416" i="1"/>
  <c r="AB416" i="1" s="1"/>
  <c r="S154" i="1"/>
  <c r="R154" i="1"/>
  <c r="AA19" i="1"/>
  <c r="AB19" i="1" s="1"/>
  <c r="AA27" i="1"/>
  <c r="AB27" i="1" s="1"/>
  <c r="AA35" i="1"/>
  <c r="AB35" i="1" s="1"/>
  <c r="AA43" i="1"/>
  <c r="AB43" i="1" s="1"/>
  <c r="AA51" i="1"/>
  <c r="AB51" i="1" s="1"/>
  <c r="AA59" i="1"/>
  <c r="AB59" i="1" s="1"/>
  <c r="AA67" i="1"/>
  <c r="AB67" i="1" s="1"/>
  <c r="AA75" i="1"/>
  <c r="AB75" i="1" s="1"/>
  <c r="AA83" i="1"/>
  <c r="AB83" i="1" s="1"/>
  <c r="AA91" i="1"/>
  <c r="AB91" i="1" s="1"/>
  <c r="AA99" i="1"/>
  <c r="AB99" i="1" s="1"/>
  <c r="AA107" i="1"/>
  <c r="AB107" i="1" s="1"/>
  <c r="AA115" i="1"/>
  <c r="AB115" i="1" s="1"/>
  <c r="AA384" i="1"/>
  <c r="AB384" i="1" s="1"/>
  <c r="AA117" i="1"/>
  <c r="AB117" i="1" s="1"/>
  <c r="AA165" i="1"/>
  <c r="AB165" i="1" s="1"/>
  <c r="AA173" i="1"/>
  <c r="AB173" i="1" s="1"/>
  <c r="AA221" i="1"/>
  <c r="AB221" i="1" s="1"/>
  <c r="AA128" i="1"/>
  <c r="AB128" i="1" s="1"/>
  <c r="AA136" i="1"/>
  <c r="AB136" i="1" s="1"/>
  <c r="AA144" i="1"/>
  <c r="AB144" i="1" s="1"/>
  <c r="AA152" i="1"/>
  <c r="AB152" i="1" s="1"/>
  <c r="AA184" i="1"/>
  <c r="AB184" i="1" s="1"/>
  <c r="AA192" i="1"/>
  <c r="AB192" i="1" s="1"/>
  <c r="AA200" i="1"/>
  <c r="AB200" i="1" s="1"/>
  <c r="AA208" i="1"/>
  <c r="AB208" i="1" s="1"/>
  <c r="AA248" i="1"/>
  <c r="AB248" i="1" s="1"/>
  <c r="AA256" i="1"/>
  <c r="AB256" i="1" s="1"/>
  <c r="AA264" i="1"/>
  <c r="AB264" i="1" s="1"/>
  <c r="AA272" i="1"/>
  <c r="AB272" i="1" s="1"/>
  <c r="AA15" i="1"/>
  <c r="AB15" i="1" s="1"/>
  <c r="AA23" i="1"/>
  <c r="AB23" i="1" s="1"/>
  <c r="AA31" i="1"/>
  <c r="AB31" i="1" s="1"/>
  <c r="AA39" i="1"/>
  <c r="AB39" i="1" s="1"/>
  <c r="AA47" i="1"/>
  <c r="AB47" i="1" s="1"/>
  <c r="AA55" i="1"/>
  <c r="AB55" i="1" s="1"/>
  <c r="AA63" i="1"/>
  <c r="AB63" i="1" s="1"/>
  <c r="AA71" i="1"/>
  <c r="AB71" i="1" s="1"/>
  <c r="AA79" i="1"/>
  <c r="AB79" i="1" s="1"/>
  <c r="AA87" i="1"/>
  <c r="AB87" i="1" s="1"/>
  <c r="AA95" i="1"/>
  <c r="AB95" i="1" s="1"/>
  <c r="AA103" i="1"/>
  <c r="AB103" i="1" s="1"/>
  <c r="AA111" i="1"/>
  <c r="AB111" i="1" s="1"/>
  <c r="AA119" i="1"/>
  <c r="AB119" i="1" s="1"/>
  <c r="AA161" i="1"/>
  <c r="AB161" i="1" s="1"/>
  <c r="AA169" i="1"/>
  <c r="AB169" i="1" s="1"/>
  <c r="AA177" i="1"/>
  <c r="AB177" i="1" s="1"/>
  <c r="AA217" i="1"/>
  <c r="AB217" i="1" s="1"/>
  <c r="AA225" i="1"/>
  <c r="AB225" i="1" s="1"/>
  <c r="AA233" i="1"/>
  <c r="AB233" i="1" s="1"/>
  <c r="AA241" i="1"/>
  <c r="AB241" i="1" s="1"/>
  <c r="AA281" i="1"/>
  <c r="AB281" i="1" s="1"/>
  <c r="AA289" i="1"/>
  <c r="AB289" i="1" s="1"/>
  <c r="AA297" i="1"/>
  <c r="AB297" i="1" s="1"/>
  <c r="AA304" i="1"/>
  <c r="AB304" i="1" s="1"/>
  <c r="AA312" i="1"/>
  <c r="AB312" i="1" s="1"/>
  <c r="AA320" i="1"/>
  <c r="AB320" i="1" s="1"/>
  <c r="AA328" i="1"/>
  <c r="AB328" i="1" s="1"/>
  <c r="AA336" i="1"/>
  <c r="AB336" i="1" s="1"/>
  <c r="AA344" i="1"/>
  <c r="AB344" i="1" s="1"/>
  <c r="AA352" i="1"/>
  <c r="AB352" i="1" s="1"/>
  <c r="AA360" i="1"/>
  <c r="AB360" i="1" s="1"/>
  <c r="AA417" i="1"/>
  <c r="AB417" i="1" s="1"/>
  <c r="AA419" i="1"/>
  <c r="AB419" i="1" s="1"/>
  <c r="AA4" i="1"/>
  <c r="AB4" i="1" s="1"/>
  <c r="AA8" i="1"/>
  <c r="AB8" i="1" s="1"/>
  <c r="AA12" i="1"/>
  <c r="AB12" i="1" s="1"/>
  <c r="AA405" i="1"/>
  <c r="AB405" i="1" s="1"/>
  <c r="AA418" i="1"/>
  <c r="AB418" i="1" s="1"/>
  <c r="AA159" i="1"/>
  <c r="AB159" i="1" s="1"/>
  <c r="AA167" i="1"/>
  <c r="AB167" i="1" s="1"/>
  <c r="AA175" i="1"/>
  <c r="AB175" i="1" s="1"/>
  <c r="AA215" i="1"/>
  <c r="AB215" i="1" s="1"/>
  <c r="AA223" i="1"/>
  <c r="AB223" i="1" s="1"/>
  <c r="AA231" i="1"/>
  <c r="AB231" i="1" s="1"/>
  <c r="AA239" i="1"/>
  <c r="AB239" i="1" s="1"/>
  <c r="AA279" i="1"/>
  <c r="AB279" i="1" s="1"/>
  <c r="AA287" i="1"/>
  <c r="AB287" i="1" s="1"/>
  <c r="AA295" i="1"/>
  <c r="AB295" i="1" s="1"/>
  <c r="AA303" i="1"/>
  <c r="AB303" i="1" s="1"/>
  <c r="AA311" i="1"/>
  <c r="AB311" i="1" s="1"/>
  <c r="AA319" i="1"/>
  <c r="AB319" i="1" s="1"/>
  <c r="AA327" i="1"/>
  <c r="AB327" i="1" s="1"/>
  <c r="AA335" i="1"/>
  <c r="AB335" i="1" s="1"/>
  <c r="AA343" i="1"/>
  <c r="AB343" i="1" s="1"/>
  <c r="AA351" i="1"/>
  <c r="AB351" i="1" s="1"/>
  <c r="AA359" i="1"/>
  <c r="AB359" i="1" s="1"/>
  <c r="AA415" i="1"/>
  <c r="AB415" i="1" s="1"/>
  <c r="AA414" i="1"/>
  <c r="AB414" i="1" s="1"/>
  <c r="AA420" i="1"/>
  <c r="AB420" i="1" s="1"/>
  <c r="AA53" i="1"/>
  <c r="AB53" i="1" s="1"/>
  <c r="AA413" i="1"/>
  <c r="AB413" i="1" s="1"/>
  <c r="AA273" i="1"/>
  <c r="AB273" i="1" s="1"/>
  <c r="AA57" i="1"/>
  <c r="AB57" i="1" s="1"/>
  <c r="AA121" i="1"/>
  <c r="AB121" i="1" s="1"/>
  <c r="AA305" i="1"/>
  <c r="AB305" i="1" s="1"/>
  <c r="AA337" i="1"/>
  <c r="AB337" i="1" s="1"/>
  <c r="AA381" i="1"/>
  <c r="AB381" i="1" s="1"/>
  <c r="AA365" i="1"/>
  <c r="AB365" i="1" s="1"/>
  <c r="AA104" i="1"/>
  <c r="AB104" i="1" s="1"/>
  <c r="AA205" i="1"/>
  <c r="AB205" i="1" s="1"/>
  <c r="AA213" i="1"/>
  <c r="AB213" i="1" s="1"/>
  <c r="AA253" i="1"/>
  <c r="AB253" i="1" s="1"/>
  <c r="AA269" i="1"/>
  <c r="AB269" i="1" s="1"/>
  <c r="AA309" i="1"/>
  <c r="AB309" i="1" s="1"/>
  <c r="AA313" i="1"/>
  <c r="AB313" i="1" s="1"/>
  <c r="AA317" i="1"/>
  <c r="AB317" i="1" s="1"/>
  <c r="AA321" i="1"/>
  <c r="AB321" i="1" s="1"/>
  <c r="AA324" i="1"/>
  <c r="AB324" i="1" s="1"/>
  <c r="AA329" i="1"/>
  <c r="AB329" i="1" s="1"/>
  <c r="AA340" i="1"/>
  <c r="AB340" i="1" s="1"/>
  <c r="AA345" i="1"/>
  <c r="AB345" i="1" s="1"/>
  <c r="AA349" i="1"/>
  <c r="AB349" i="1" s="1"/>
  <c r="AA353" i="1"/>
  <c r="AB353" i="1" s="1"/>
  <c r="AA369" i="1"/>
  <c r="AB369" i="1" s="1"/>
  <c r="AA389" i="1"/>
  <c r="AB389" i="1" s="1"/>
  <c r="AA16" i="1"/>
  <c r="AB16" i="1" s="1"/>
  <c r="AA96" i="1"/>
  <c r="AB96" i="1" s="1"/>
  <c r="AA120" i="1"/>
  <c r="AB120" i="1" s="1"/>
  <c r="AA125" i="1"/>
  <c r="AB125" i="1" s="1"/>
  <c r="AA133" i="1"/>
  <c r="AB133" i="1" s="1"/>
  <c r="AA141" i="1"/>
  <c r="AB141" i="1" s="1"/>
  <c r="AA153" i="1"/>
  <c r="AB153" i="1" s="1"/>
  <c r="AA189" i="1"/>
  <c r="AB189" i="1" s="1"/>
  <c r="AA197" i="1"/>
  <c r="AB197" i="1" s="1"/>
  <c r="AA245" i="1"/>
  <c r="AB245" i="1" s="1"/>
  <c r="AA261" i="1"/>
  <c r="AB261" i="1" s="1"/>
  <c r="AA308" i="1"/>
  <c r="AB308" i="1" s="1"/>
  <c r="AA316" i="1"/>
  <c r="AB316" i="1" s="1"/>
  <c r="AA332" i="1"/>
  <c r="AB332" i="1" s="1"/>
  <c r="AA341" i="1"/>
  <c r="AB341" i="1" s="1"/>
  <c r="AA357" i="1"/>
  <c r="AB357" i="1" s="1"/>
  <c r="AA361" i="1"/>
  <c r="AB361" i="1" s="1"/>
  <c r="AA393" i="1"/>
  <c r="AB393" i="1" s="1"/>
  <c r="AA156" i="1"/>
  <c r="AB156" i="1" s="1"/>
  <c r="AA164" i="1"/>
  <c r="AB164" i="1" s="1"/>
  <c r="AA172" i="1"/>
  <c r="AB172" i="1" s="1"/>
  <c r="AA228" i="1"/>
  <c r="AB228" i="1" s="1"/>
  <c r="AA244" i="1"/>
  <c r="AB244" i="1" s="1"/>
  <c r="AA276" i="1"/>
  <c r="AB276" i="1" s="1"/>
  <c r="AA292" i="1"/>
  <c r="AB292" i="1" s="1"/>
  <c r="AA14" i="1"/>
  <c r="AB14" i="1" s="1"/>
  <c r="AA22" i="1"/>
  <c r="AB22" i="1" s="1"/>
  <c r="AA30" i="1"/>
  <c r="AB30" i="1" s="1"/>
  <c r="AA38" i="1"/>
  <c r="AB38" i="1" s="1"/>
  <c r="AA46" i="1"/>
  <c r="AB46" i="1" s="1"/>
  <c r="AA62" i="1"/>
  <c r="AB62" i="1" s="1"/>
  <c r="AA70" i="1"/>
  <c r="AB70" i="1" s="1"/>
  <c r="AA94" i="1"/>
  <c r="AB94" i="1" s="1"/>
  <c r="AA110" i="1"/>
  <c r="AB110" i="1" s="1"/>
  <c r="AA118" i="1"/>
  <c r="AB118" i="1" s="1"/>
  <c r="AA410" i="1"/>
  <c r="AB410" i="1" s="1"/>
  <c r="AA402" i="1"/>
  <c r="AB402" i="1" s="1"/>
  <c r="AA126" i="1"/>
  <c r="AB126" i="1" s="1"/>
  <c r="AA134" i="1"/>
  <c r="AB134" i="1" s="1"/>
  <c r="AA142" i="1"/>
  <c r="AB142" i="1" s="1"/>
  <c r="AA150" i="1"/>
  <c r="AB150" i="1" s="1"/>
  <c r="AA190" i="1"/>
  <c r="AB190" i="1" s="1"/>
  <c r="AA198" i="1"/>
  <c r="AB198" i="1" s="1"/>
  <c r="AA206" i="1"/>
  <c r="AB206" i="1" s="1"/>
  <c r="AA246" i="1"/>
  <c r="AB246" i="1" s="1"/>
  <c r="AA254" i="1"/>
  <c r="AB254" i="1" s="1"/>
  <c r="AA262" i="1"/>
  <c r="AB262" i="1" s="1"/>
  <c r="AA270" i="1"/>
  <c r="AB270" i="1" s="1"/>
  <c r="AA397" i="1"/>
  <c r="AB397" i="1" s="1"/>
  <c r="AA373" i="1"/>
  <c r="AB373" i="1" s="1"/>
  <c r="AA409" i="1"/>
  <c r="AB409" i="1" s="1"/>
  <c r="AA401" i="1"/>
  <c r="AB401" i="1" s="1"/>
  <c r="AA112" i="1"/>
  <c r="AB112" i="1" s="1"/>
  <c r="AA149" i="1"/>
  <c r="AB149" i="1" s="1"/>
  <c r="AA325" i="1"/>
  <c r="AB325" i="1" s="1"/>
  <c r="AA333" i="1"/>
  <c r="AB333" i="1" s="1"/>
  <c r="AA348" i="1"/>
  <c r="AB348" i="1" s="1"/>
  <c r="AA356" i="1"/>
  <c r="AB356" i="1" s="1"/>
  <c r="AA364" i="1"/>
  <c r="AB364" i="1" s="1"/>
  <c r="AA377" i="1"/>
  <c r="AB377" i="1" s="1"/>
  <c r="AA180" i="1"/>
  <c r="AB180" i="1" s="1"/>
  <c r="AA220" i="1"/>
  <c r="AB220" i="1" s="1"/>
  <c r="AA236" i="1"/>
  <c r="AB236" i="1" s="1"/>
  <c r="AA284" i="1"/>
  <c r="AB284" i="1" s="1"/>
  <c r="AA300" i="1"/>
  <c r="AB300" i="1" s="1"/>
  <c r="AA54" i="1"/>
  <c r="AB54" i="1" s="1"/>
  <c r="AA78" i="1"/>
  <c r="AB78" i="1" s="1"/>
  <c r="AA86" i="1"/>
  <c r="AB86" i="1" s="1"/>
  <c r="AA102" i="1"/>
  <c r="AB102" i="1" s="1"/>
  <c r="AA368" i="1"/>
  <c r="AB368" i="1" s="1"/>
  <c r="AA385" i="1"/>
  <c r="AB385" i="1" s="1"/>
  <c r="AA21" i="1"/>
  <c r="AB21" i="1" s="1"/>
  <c r="AA25" i="1"/>
  <c r="AB25" i="1" s="1"/>
  <c r="AA29" i="1"/>
  <c r="AB29" i="1" s="1"/>
  <c r="AA33" i="1"/>
  <c r="AB33" i="1" s="1"/>
  <c r="AA61" i="1"/>
  <c r="AB61" i="1" s="1"/>
  <c r="AA65" i="1"/>
  <c r="AB65" i="1" s="1"/>
  <c r="AA85" i="1"/>
  <c r="AB85" i="1" s="1"/>
  <c r="AA89" i="1"/>
  <c r="AB89" i="1" s="1"/>
  <c r="AA93" i="1"/>
  <c r="AB93" i="1" s="1"/>
  <c r="AA97" i="1"/>
  <c r="AB97" i="1" s="1"/>
  <c r="AA145" i="1"/>
  <c r="AB145" i="1" s="1"/>
  <c r="AA193" i="1"/>
  <c r="AB193" i="1" s="1"/>
  <c r="AA249" i="1"/>
  <c r="AB249" i="1" s="1"/>
  <c r="AA265" i="1"/>
  <c r="AB265" i="1" s="1"/>
  <c r="AA293" i="1"/>
  <c r="AB293" i="1" s="1"/>
  <c r="AA301" i="1"/>
  <c r="AB301" i="1" s="1"/>
  <c r="AA408" i="1"/>
  <c r="AB408" i="1" s="1"/>
  <c r="AA66" i="1"/>
  <c r="AB66" i="1" s="1"/>
  <c r="AA18" i="1"/>
  <c r="AB18" i="1" s="1"/>
  <c r="AA26" i="1"/>
  <c r="AB26" i="1" s="1"/>
  <c r="AA34" i="1"/>
  <c r="AB34" i="1" s="1"/>
  <c r="AA82" i="1"/>
  <c r="AB82" i="1" s="1"/>
  <c r="AA154" i="1"/>
  <c r="AB154" i="1" s="1"/>
  <c r="AA218" i="1"/>
  <c r="AB218" i="1" s="1"/>
  <c r="AA392" i="1"/>
  <c r="AB392" i="1" s="1"/>
  <c r="AA376" i="1"/>
  <c r="AB376" i="1" s="1"/>
  <c r="AA2" i="1"/>
  <c r="AB2" i="1" s="1"/>
  <c r="AA42" i="1"/>
  <c r="AB42" i="1" s="1"/>
  <c r="AA58" i="1"/>
  <c r="AB58" i="1" s="1"/>
  <c r="AA90" i="1"/>
  <c r="AB90" i="1" s="1"/>
  <c r="AA162" i="1"/>
  <c r="AB162" i="1" s="1"/>
  <c r="AA170" i="1"/>
  <c r="AB170" i="1" s="1"/>
  <c r="AA178" i="1"/>
  <c r="AB178" i="1" s="1"/>
  <c r="AA226" i="1"/>
  <c r="AB226" i="1" s="1"/>
  <c r="AA234" i="1"/>
  <c r="AB234" i="1" s="1"/>
  <c r="AA242" i="1"/>
  <c r="AB242" i="1" s="1"/>
  <c r="AA282" i="1"/>
  <c r="AB282" i="1" s="1"/>
  <c r="AA290" i="1"/>
  <c r="AB290" i="1" s="1"/>
  <c r="AA298" i="1"/>
  <c r="AB298" i="1" s="1"/>
  <c r="AA17" i="1"/>
  <c r="AB17" i="1" s="1"/>
  <c r="AA37" i="1"/>
  <c r="AB37" i="1" s="1"/>
  <c r="AA41" i="1"/>
  <c r="AB41" i="1" s="1"/>
  <c r="AA45" i="1"/>
  <c r="AB45" i="1" s="1"/>
  <c r="AA49" i="1"/>
  <c r="AB49" i="1" s="1"/>
  <c r="AA69" i="1"/>
  <c r="AB69" i="1" s="1"/>
  <c r="AA73" i="1"/>
  <c r="AB73" i="1" s="1"/>
  <c r="AA77" i="1"/>
  <c r="AB77" i="1" s="1"/>
  <c r="AA81" i="1"/>
  <c r="AB81" i="1" s="1"/>
  <c r="AA101" i="1"/>
  <c r="AB101" i="1" s="1"/>
  <c r="AA105" i="1"/>
  <c r="AB105" i="1" s="1"/>
  <c r="AA109" i="1"/>
  <c r="AB109" i="1" s="1"/>
  <c r="AA113" i="1"/>
  <c r="AB113" i="1" s="1"/>
  <c r="AA129" i="1"/>
  <c r="AB129" i="1" s="1"/>
  <c r="AA137" i="1"/>
  <c r="AB137" i="1" s="1"/>
  <c r="AA157" i="1"/>
  <c r="AB157" i="1" s="1"/>
  <c r="AA181" i="1"/>
  <c r="AB181" i="1" s="1"/>
  <c r="AA185" i="1"/>
  <c r="AB185" i="1" s="1"/>
  <c r="AA201" i="1"/>
  <c r="AB201" i="1" s="1"/>
  <c r="AA209" i="1"/>
  <c r="AB209" i="1" s="1"/>
  <c r="AA229" i="1"/>
  <c r="AB229" i="1" s="1"/>
  <c r="AA237" i="1"/>
  <c r="AB237" i="1" s="1"/>
  <c r="AA257" i="1"/>
  <c r="AB257" i="1" s="1"/>
  <c r="AA277" i="1"/>
  <c r="AB277" i="1" s="1"/>
  <c r="AA285" i="1"/>
  <c r="AB285" i="1" s="1"/>
  <c r="AA362" i="1"/>
  <c r="AB362" i="1" s="1"/>
  <c r="AA391" i="1"/>
  <c r="AB391" i="1" s="1"/>
  <c r="AA383" i="1"/>
  <c r="AB383" i="1" s="1"/>
  <c r="AA375" i="1"/>
  <c r="AB375" i="1" s="1"/>
  <c r="AA367" i="1"/>
  <c r="AB367" i="1" s="1"/>
  <c r="AA50" i="1"/>
  <c r="AB50" i="1" s="1"/>
  <c r="AA98" i="1"/>
  <c r="AB98" i="1" s="1"/>
  <c r="AA114" i="1"/>
  <c r="AB114" i="1" s="1"/>
  <c r="AA5" i="1"/>
  <c r="AB5" i="1" s="1"/>
  <c r="AA124" i="1"/>
  <c r="AB124" i="1" s="1"/>
  <c r="AA132" i="1"/>
  <c r="AB132" i="1" s="1"/>
  <c r="AA140" i="1"/>
  <c r="AB140" i="1" s="1"/>
  <c r="AA148" i="1"/>
  <c r="AB148" i="1" s="1"/>
  <c r="AA160" i="1"/>
  <c r="AB160" i="1" s="1"/>
  <c r="AA168" i="1"/>
  <c r="AB168" i="1" s="1"/>
  <c r="AA176" i="1"/>
  <c r="AB176" i="1" s="1"/>
  <c r="AA183" i="1"/>
  <c r="AB183" i="1" s="1"/>
  <c r="AA188" i="1"/>
  <c r="AB188" i="1" s="1"/>
  <c r="AA196" i="1"/>
  <c r="AB196" i="1" s="1"/>
  <c r="AA204" i="1"/>
  <c r="AB204" i="1" s="1"/>
  <c r="AA212" i="1"/>
  <c r="AB212" i="1" s="1"/>
  <c r="AA216" i="1"/>
  <c r="AB216" i="1" s="1"/>
  <c r="AA224" i="1"/>
  <c r="AB224" i="1" s="1"/>
  <c r="AA232" i="1"/>
  <c r="AB232" i="1" s="1"/>
  <c r="AA240" i="1"/>
  <c r="AB240" i="1" s="1"/>
  <c r="AA252" i="1"/>
  <c r="AB252" i="1" s="1"/>
  <c r="AA260" i="1"/>
  <c r="AB260" i="1" s="1"/>
  <c r="AA268" i="1"/>
  <c r="AB268" i="1" s="1"/>
  <c r="AA280" i="1"/>
  <c r="AB280" i="1" s="1"/>
  <c r="AA288" i="1"/>
  <c r="AB288" i="1" s="1"/>
  <c r="AA296" i="1"/>
  <c r="AB296" i="1" s="1"/>
  <c r="AA390" i="1"/>
  <c r="AB390" i="1" s="1"/>
  <c r="AA382" i="1"/>
  <c r="AB382" i="1" s="1"/>
  <c r="AA374" i="1"/>
  <c r="AB374" i="1" s="1"/>
  <c r="AA366" i="1"/>
  <c r="AB366" i="1" s="1"/>
  <c r="AA407" i="1"/>
  <c r="AB407" i="1" s="1"/>
  <c r="AA399" i="1"/>
  <c r="AB399" i="1" s="1"/>
  <c r="AA74" i="1"/>
  <c r="AB74" i="1" s="1"/>
  <c r="AA106" i="1"/>
  <c r="AB106" i="1" s="1"/>
  <c r="AA9" i="1"/>
  <c r="AB9" i="1" s="1"/>
  <c r="AA13" i="1"/>
  <c r="AB13" i="1" s="1"/>
  <c r="AA400" i="1"/>
  <c r="AB400" i="1" s="1"/>
  <c r="AA406" i="1"/>
  <c r="AB406" i="1" s="1"/>
  <c r="AA398" i="1"/>
  <c r="AB398" i="1" s="1"/>
  <c r="AA24" i="1"/>
  <c r="AB24" i="1" s="1"/>
  <c r="AA32" i="1"/>
  <c r="AB32" i="1" s="1"/>
  <c r="AA40" i="1"/>
  <c r="AB40" i="1" s="1"/>
  <c r="AA48" i="1"/>
  <c r="AB48" i="1" s="1"/>
  <c r="AA56" i="1"/>
  <c r="AB56" i="1" s="1"/>
  <c r="AA64" i="1"/>
  <c r="AB64" i="1" s="1"/>
  <c r="AA72" i="1"/>
  <c r="AB72" i="1" s="1"/>
  <c r="AA80" i="1"/>
  <c r="AB80" i="1" s="1"/>
  <c r="AA88" i="1"/>
  <c r="AB88" i="1" s="1"/>
  <c r="AA122" i="1"/>
  <c r="AB122" i="1" s="1"/>
  <c r="AA130" i="1"/>
  <c r="AB130" i="1" s="1"/>
  <c r="AA138" i="1"/>
  <c r="AB138" i="1" s="1"/>
  <c r="AA146" i="1"/>
  <c r="AB146" i="1" s="1"/>
  <c r="AA158" i="1"/>
  <c r="AB158" i="1" s="1"/>
  <c r="AA166" i="1"/>
  <c r="AB166" i="1" s="1"/>
  <c r="AA174" i="1"/>
  <c r="AB174" i="1" s="1"/>
  <c r="AA182" i="1"/>
  <c r="AB182" i="1" s="1"/>
  <c r="AA186" i="1"/>
  <c r="AB186" i="1" s="1"/>
  <c r="AA194" i="1"/>
  <c r="AB194" i="1" s="1"/>
  <c r="AA202" i="1"/>
  <c r="AB202" i="1" s="1"/>
  <c r="AA210" i="1"/>
  <c r="AB210" i="1" s="1"/>
  <c r="AA222" i="1"/>
  <c r="AB222" i="1" s="1"/>
  <c r="AA230" i="1"/>
  <c r="AB230" i="1" s="1"/>
  <c r="AA238" i="1"/>
  <c r="AB238" i="1" s="1"/>
  <c r="AA250" i="1"/>
  <c r="AB250" i="1" s="1"/>
  <c r="AA258" i="1"/>
  <c r="AB258" i="1" s="1"/>
  <c r="AA266" i="1"/>
  <c r="AB266" i="1" s="1"/>
  <c r="AA274" i="1"/>
  <c r="AB274" i="1" s="1"/>
  <c r="AA278" i="1"/>
  <c r="AB278" i="1" s="1"/>
  <c r="AA286" i="1"/>
  <c r="AB286" i="1" s="1"/>
  <c r="AA294" i="1"/>
  <c r="AB294" i="1" s="1"/>
  <c r="AA302" i="1"/>
  <c r="AB302" i="1" s="1"/>
  <c r="AA396" i="1"/>
  <c r="AB396" i="1" s="1"/>
  <c r="AA388" i="1"/>
  <c r="AB388" i="1" s="1"/>
  <c r="AA380" i="1"/>
  <c r="AB380" i="1" s="1"/>
  <c r="AA372" i="1"/>
  <c r="AB372" i="1" s="1"/>
  <c r="AA139" i="1"/>
  <c r="AB139" i="1" s="1"/>
  <c r="AA347" i="1"/>
  <c r="AB347" i="1" s="1"/>
  <c r="AA6" i="1"/>
  <c r="AB6" i="1" s="1"/>
  <c r="AA395" i="1"/>
  <c r="AB395" i="1" s="1"/>
  <c r="AA387" i="1"/>
  <c r="AB387" i="1" s="1"/>
  <c r="AA379" i="1"/>
  <c r="AB379" i="1" s="1"/>
  <c r="AA371" i="1"/>
  <c r="AB371" i="1" s="1"/>
  <c r="AA3" i="1"/>
  <c r="AB3" i="1" s="1"/>
  <c r="AA187" i="1"/>
  <c r="AB187" i="1" s="1"/>
  <c r="AA211" i="1"/>
  <c r="AB211" i="1" s="1"/>
  <c r="AA251" i="1"/>
  <c r="AB251" i="1" s="1"/>
  <c r="AA267" i="1"/>
  <c r="AB267" i="1" s="1"/>
  <c r="AA10" i="1"/>
  <c r="AB10" i="1" s="1"/>
  <c r="AA306" i="1"/>
  <c r="AB306" i="1" s="1"/>
  <c r="AA310" i="1"/>
  <c r="AB310" i="1" s="1"/>
  <c r="AA314" i="1"/>
  <c r="AB314" i="1" s="1"/>
  <c r="AA318" i="1"/>
  <c r="AB318" i="1" s="1"/>
  <c r="AA322" i="1"/>
  <c r="AB322" i="1" s="1"/>
  <c r="AA326" i="1"/>
  <c r="AB326" i="1" s="1"/>
  <c r="AA330" i="1"/>
  <c r="AB330" i="1" s="1"/>
  <c r="AA334" i="1"/>
  <c r="AB334" i="1" s="1"/>
  <c r="AA338" i="1"/>
  <c r="AB338" i="1" s="1"/>
  <c r="AA342" i="1"/>
  <c r="AB342" i="1" s="1"/>
  <c r="AA346" i="1"/>
  <c r="AB346" i="1" s="1"/>
  <c r="AA350" i="1"/>
  <c r="AB350" i="1" s="1"/>
  <c r="AA354" i="1"/>
  <c r="AB354" i="1" s="1"/>
  <c r="AA358" i="1"/>
  <c r="AB358" i="1" s="1"/>
  <c r="AA394" i="1"/>
  <c r="AB394" i="1" s="1"/>
  <c r="AA386" i="1"/>
  <c r="AB386" i="1" s="1"/>
  <c r="AA378" i="1"/>
  <c r="AB378" i="1" s="1"/>
  <c r="AA370" i="1"/>
  <c r="AB370" i="1" s="1"/>
  <c r="AA412" i="1"/>
  <c r="AB412" i="1" s="1"/>
  <c r="AA404" i="1"/>
  <c r="AB404" i="1" s="1"/>
  <c r="AA131" i="1"/>
  <c r="AB131" i="1" s="1"/>
  <c r="AA203" i="1"/>
  <c r="AB203" i="1" s="1"/>
  <c r="AA307" i="1"/>
  <c r="AB307" i="1" s="1"/>
  <c r="AA323" i="1"/>
  <c r="AB323" i="1" s="1"/>
  <c r="AA331" i="1"/>
  <c r="AB331" i="1" s="1"/>
  <c r="AA355" i="1"/>
  <c r="AB355" i="1" s="1"/>
  <c r="AA275" i="1"/>
  <c r="AB275" i="1" s="1"/>
  <c r="AA411" i="1"/>
  <c r="AB411" i="1" s="1"/>
  <c r="AA403" i="1"/>
  <c r="AB403" i="1" s="1"/>
  <c r="AA11" i="1"/>
  <c r="AB11" i="1" s="1"/>
  <c r="AA123" i="1"/>
  <c r="AB123" i="1" s="1"/>
  <c r="AA147" i="1"/>
  <c r="AB147" i="1" s="1"/>
  <c r="AA195" i="1"/>
  <c r="AB195" i="1" s="1"/>
  <c r="AA259" i="1"/>
  <c r="AB259" i="1" s="1"/>
  <c r="AA315" i="1"/>
  <c r="AB315" i="1" s="1"/>
  <c r="AA339" i="1"/>
  <c r="AB339" i="1" s="1"/>
  <c r="AA363" i="1"/>
  <c r="AB363" i="1" s="1"/>
  <c r="AA20" i="1"/>
  <c r="AB20" i="1" s="1"/>
  <c r="AA28" i="1"/>
  <c r="AB28" i="1" s="1"/>
  <c r="AA36" i="1"/>
  <c r="AB36" i="1" s="1"/>
  <c r="AA44" i="1"/>
  <c r="AB44" i="1" s="1"/>
  <c r="AA52" i="1"/>
  <c r="AB52" i="1" s="1"/>
  <c r="AA60" i="1"/>
  <c r="AB60" i="1" s="1"/>
  <c r="AA68" i="1"/>
  <c r="AB68" i="1" s="1"/>
  <c r="AA76" i="1"/>
  <c r="AB76" i="1" s="1"/>
  <c r="AA84" i="1"/>
  <c r="AB84" i="1" s="1"/>
  <c r="AA92" i="1"/>
  <c r="AB92" i="1" s="1"/>
  <c r="AA100" i="1"/>
  <c r="AB100" i="1" s="1"/>
  <c r="AA108" i="1"/>
  <c r="AB108" i="1" s="1"/>
  <c r="AA116" i="1"/>
  <c r="AB116" i="1" s="1"/>
  <c r="AA127" i="1"/>
  <c r="AB127" i="1" s="1"/>
  <c r="AA135" i="1"/>
  <c r="AB135" i="1" s="1"/>
  <c r="AA143" i="1"/>
  <c r="AB143" i="1" s="1"/>
  <c r="AA151" i="1"/>
  <c r="AB151" i="1" s="1"/>
  <c r="AA155" i="1"/>
  <c r="AB155" i="1" s="1"/>
  <c r="AA163" i="1"/>
  <c r="AB163" i="1" s="1"/>
  <c r="AA171" i="1"/>
  <c r="AB171" i="1" s="1"/>
  <c r="AA179" i="1"/>
  <c r="AB179" i="1" s="1"/>
  <c r="AA191" i="1"/>
  <c r="AB191" i="1" s="1"/>
  <c r="AA199" i="1"/>
  <c r="AB199" i="1" s="1"/>
  <c r="AA207" i="1"/>
  <c r="AB207" i="1" s="1"/>
  <c r="AA214" i="1"/>
  <c r="AB214" i="1" s="1"/>
  <c r="AA219" i="1"/>
  <c r="AB219" i="1" s="1"/>
  <c r="AA227" i="1"/>
  <c r="AB227" i="1" s="1"/>
  <c r="AA235" i="1"/>
  <c r="AB235" i="1" s="1"/>
  <c r="AA243" i="1"/>
  <c r="AB243" i="1" s="1"/>
  <c r="AA247" i="1"/>
  <c r="AB247" i="1" s="1"/>
  <c r="AA255" i="1"/>
  <c r="AB255" i="1" s="1"/>
  <c r="AA263" i="1"/>
  <c r="AB263" i="1" s="1"/>
  <c r="AA271" i="1"/>
  <c r="AB271" i="1" s="1"/>
  <c r="AA283" i="1"/>
  <c r="AB283" i="1" s="1"/>
  <c r="AA291" i="1"/>
  <c r="AB291" i="1" s="1"/>
  <c r="AA299" i="1"/>
  <c r="AB299" i="1" s="1"/>
  <c r="Z124" i="1"/>
  <c r="Z276" i="1"/>
  <c r="Z246" i="1"/>
  <c r="Z144" i="1"/>
  <c r="Z154" i="1"/>
  <c r="P154" i="1"/>
  <c r="Q123" i="1"/>
  <c r="S123" i="1"/>
  <c r="P123" i="1"/>
  <c r="P122" i="1"/>
  <c r="Q122" i="1"/>
  <c r="L277" i="1"/>
  <c r="Q154" i="1"/>
  <c r="L155" i="1"/>
  <c r="L216" i="1"/>
  <c r="S276" i="1"/>
  <c r="P215" i="1"/>
  <c r="Q215" i="1"/>
  <c r="L185" i="1"/>
  <c r="S184" i="1"/>
  <c r="Q184" i="1"/>
  <c r="P184" i="1"/>
  <c r="S215" i="1"/>
  <c r="L247" i="1"/>
  <c r="S246" i="1"/>
  <c r="P246" i="1"/>
  <c r="P276" i="1"/>
  <c r="Z185" i="1" l="1"/>
  <c r="R185" i="1"/>
  <c r="L146" i="1"/>
  <c r="R145" i="1"/>
  <c r="Z216" i="1"/>
  <c r="R216" i="1"/>
  <c r="Q277" i="1"/>
  <c r="R277" i="1"/>
  <c r="L126" i="1"/>
  <c r="R125" i="1"/>
  <c r="Z155" i="1"/>
  <c r="R155" i="1"/>
  <c r="Z247" i="1"/>
  <c r="R247" i="1"/>
  <c r="P277" i="1"/>
  <c r="Z277" i="1"/>
  <c r="L278" i="1"/>
  <c r="S277" i="1"/>
  <c r="Q216" i="1"/>
  <c r="Q124" i="1"/>
  <c r="P124" i="1"/>
  <c r="S124" i="1"/>
  <c r="P155" i="1"/>
  <c r="P216" i="1"/>
  <c r="L156" i="1"/>
  <c r="Q155" i="1"/>
  <c r="L217" i="1"/>
  <c r="S216" i="1"/>
  <c r="S155" i="1"/>
  <c r="P247" i="1"/>
  <c r="S247" i="1"/>
  <c r="Q247" i="1"/>
  <c r="L248" i="1"/>
  <c r="Q185" i="1"/>
  <c r="L186" i="1"/>
  <c r="S185" i="1"/>
  <c r="P185" i="1"/>
  <c r="Z217" i="1" l="1"/>
  <c r="R217" i="1"/>
  <c r="Z156" i="1"/>
  <c r="R156" i="1"/>
  <c r="L127" i="1"/>
  <c r="R126" i="1"/>
  <c r="Z126" i="1"/>
  <c r="Z278" i="1"/>
  <c r="R278" i="1"/>
  <c r="L147" i="1"/>
  <c r="R146" i="1"/>
  <c r="Z146" i="1"/>
  <c r="Z186" i="1"/>
  <c r="R186" i="1"/>
  <c r="Z248" i="1"/>
  <c r="R248" i="1"/>
  <c r="Q278" i="1"/>
  <c r="L279" i="1"/>
  <c r="P278" i="1"/>
  <c r="S217" i="1"/>
  <c r="P217" i="1"/>
  <c r="Q217" i="1"/>
  <c r="L218" i="1"/>
  <c r="S278" i="1"/>
  <c r="P125" i="1"/>
  <c r="S125" i="1"/>
  <c r="Q125" i="1"/>
  <c r="P156" i="1"/>
  <c r="S156" i="1"/>
  <c r="Q156" i="1"/>
  <c r="L157" i="1"/>
  <c r="L187" i="1"/>
  <c r="S186" i="1"/>
  <c r="Q186" i="1"/>
  <c r="P186" i="1"/>
  <c r="L249" i="1"/>
  <c r="S248" i="1"/>
  <c r="P248" i="1"/>
  <c r="Q248" i="1"/>
  <c r="Z218" i="1" l="1"/>
  <c r="R218" i="1"/>
  <c r="Z249" i="1"/>
  <c r="R249" i="1"/>
  <c r="L128" i="1"/>
  <c r="R127" i="1"/>
  <c r="Z127" i="1"/>
  <c r="Z187" i="1"/>
  <c r="R187" i="1"/>
  <c r="Z279" i="1"/>
  <c r="R279" i="1"/>
  <c r="Z157" i="1"/>
  <c r="R157" i="1"/>
  <c r="L148" i="1"/>
  <c r="R147" i="1"/>
  <c r="Z147" i="1"/>
  <c r="P279" i="1"/>
  <c r="Q279" i="1"/>
  <c r="S279" i="1"/>
  <c r="L280" i="1"/>
  <c r="L219" i="1"/>
  <c r="P218" i="1"/>
  <c r="S218" i="1"/>
  <c r="Q218" i="1"/>
  <c r="P126" i="1"/>
  <c r="S126" i="1"/>
  <c r="Q126" i="1"/>
  <c r="S157" i="1"/>
  <c r="L158" i="1"/>
  <c r="Q157" i="1"/>
  <c r="P157" i="1"/>
  <c r="P249" i="1"/>
  <c r="S249" i="1"/>
  <c r="L250" i="1"/>
  <c r="Q249" i="1"/>
  <c r="Q187" i="1"/>
  <c r="P187" i="1"/>
  <c r="S187" i="1"/>
  <c r="L188" i="1"/>
  <c r="L149" i="1" l="1"/>
  <c r="R148" i="1"/>
  <c r="Z148" i="1"/>
  <c r="Z188" i="1"/>
  <c r="R188" i="1"/>
  <c r="Z280" i="1"/>
  <c r="R280" i="1"/>
  <c r="Z219" i="1"/>
  <c r="R219" i="1"/>
  <c r="Z250" i="1"/>
  <c r="R250" i="1"/>
  <c r="L129" i="1"/>
  <c r="R128" i="1"/>
  <c r="Z128" i="1"/>
  <c r="Z158" i="1"/>
  <c r="R158" i="1"/>
  <c r="P219" i="1"/>
  <c r="Q219" i="1"/>
  <c r="L281" i="1"/>
  <c r="S280" i="1"/>
  <c r="L220" i="1"/>
  <c r="P280" i="1"/>
  <c r="S219" i="1"/>
  <c r="Q280" i="1"/>
  <c r="P127" i="1"/>
  <c r="S127" i="1"/>
  <c r="Q127" i="1"/>
  <c r="P158" i="1"/>
  <c r="S158" i="1"/>
  <c r="L159" i="1"/>
  <c r="Q158" i="1"/>
  <c r="L189" i="1"/>
  <c r="S188" i="1"/>
  <c r="Q188" i="1"/>
  <c r="P188" i="1"/>
  <c r="L251" i="1"/>
  <c r="S250" i="1"/>
  <c r="P250" i="1"/>
  <c r="Q250" i="1"/>
  <c r="Z251" i="1" l="1"/>
  <c r="R251" i="1"/>
  <c r="Z220" i="1"/>
  <c r="R220" i="1"/>
  <c r="L130" i="1"/>
  <c r="R129" i="1"/>
  <c r="Z129" i="1"/>
  <c r="Z281" i="1"/>
  <c r="R281" i="1"/>
  <c r="Z189" i="1"/>
  <c r="R189" i="1"/>
  <c r="Z159" i="1"/>
  <c r="R159" i="1"/>
  <c r="L150" i="1"/>
  <c r="R149" i="1"/>
  <c r="Z149" i="1"/>
  <c r="P281" i="1"/>
  <c r="S220" i="1"/>
  <c r="L221" i="1"/>
  <c r="Q220" i="1"/>
  <c r="P220" i="1"/>
  <c r="Q281" i="1"/>
  <c r="S281" i="1"/>
  <c r="L282" i="1"/>
  <c r="P128" i="1"/>
  <c r="S128" i="1"/>
  <c r="Q128" i="1"/>
  <c r="Q159" i="1"/>
  <c r="P159" i="1"/>
  <c r="S159" i="1"/>
  <c r="L160" i="1"/>
  <c r="P251" i="1"/>
  <c r="S251" i="1"/>
  <c r="L252" i="1"/>
  <c r="Q251" i="1"/>
  <c r="Q189" i="1"/>
  <c r="P189" i="1"/>
  <c r="S189" i="1"/>
  <c r="L190" i="1"/>
  <c r="Z282" i="1" l="1"/>
  <c r="R282" i="1"/>
  <c r="Z190" i="1"/>
  <c r="R190" i="1"/>
  <c r="Z252" i="1"/>
  <c r="R252" i="1"/>
  <c r="Z221" i="1"/>
  <c r="R221" i="1"/>
  <c r="Z150" i="1"/>
  <c r="R150" i="1"/>
  <c r="L131" i="1"/>
  <c r="R130" i="1"/>
  <c r="Z130" i="1"/>
  <c r="Z160" i="1"/>
  <c r="R160" i="1"/>
  <c r="Q282" i="1"/>
  <c r="Q221" i="1"/>
  <c r="P282" i="1"/>
  <c r="L222" i="1"/>
  <c r="S221" i="1"/>
  <c r="P221" i="1"/>
  <c r="L283" i="1"/>
  <c r="S282" i="1"/>
  <c r="S129" i="1"/>
  <c r="Q129" i="1"/>
  <c r="P129" i="1"/>
  <c r="S160" i="1"/>
  <c r="L161" i="1"/>
  <c r="Q160" i="1"/>
  <c r="P160" i="1"/>
  <c r="L191" i="1"/>
  <c r="S190" i="1"/>
  <c r="Q190" i="1"/>
  <c r="P190" i="1"/>
  <c r="L253" i="1"/>
  <c r="S252" i="1"/>
  <c r="P252" i="1"/>
  <c r="Q252" i="1"/>
  <c r="L132" i="1" l="1"/>
  <c r="R131" i="1"/>
  <c r="Z131" i="1"/>
  <c r="Z161" i="1"/>
  <c r="R161" i="1"/>
  <c r="Z283" i="1"/>
  <c r="R283" i="1"/>
  <c r="Z253" i="1"/>
  <c r="R253" i="1"/>
  <c r="Z222" i="1"/>
  <c r="R222" i="1"/>
  <c r="Z191" i="1"/>
  <c r="R191" i="1"/>
  <c r="Q283" i="1"/>
  <c r="S283" i="1"/>
  <c r="L284" i="1"/>
  <c r="P222" i="1"/>
  <c r="Q222" i="1"/>
  <c r="L223" i="1"/>
  <c r="S222" i="1"/>
  <c r="P283" i="1"/>
  <c r="P130" i="1"/>
  <c r="S130" i="1"/>
  <c r="Q130" i="1"/>
  <c r="P161" i="1"/>
  <c r="L162" i="1"/>
  <c r="S161" i="1"/>
  <c r="Q161" i="1"/>
  <c r="Q191" i="1"/>
  <c r="P191" i="1"/>
  <c r="S191" i="1"/>
  <c r="L192" i="1"/>
  <c r="P253" i="1"/>
  <c r="S253" i="1"/>
  <c r="L254" i="1"/>
  <c r="Q253" i="1"/>
  <c r="Z162" i="1" l="1"/>
  <c r="R162" i="1"/>
  <c r="Z223" i="1"/>
  <c r="R223" i="1"/>
  <c r="Z192" i="1"/>
  <c r="R192" i="1"/>
  <c r="Z254" i="1"/>
  <c r="R254" i="1"/>
  <c r="Z284" i="1"/>
  <c r="R284" i="1"/>
  <c r="L133" i="1"/>
  <c r="R132" i="1"/>
  <c r="Z132" i="1"/>
  <c r="Q284" i="1"/>
  <c r="L285" i="1"/>
  <c r="S284" i="1"/>
  <c r="P284" i="1"/>
  <c r="L224" i="1"/>
  <c r="P223" i="1"/>
  <c r="Q223" i="1"/>
  <c r="S223" i="1"/>
  <c r="Q131" i="1"/>
  <c r="P131" i="1"/>
  <c r="S131" i="1"/>
  <c r="Q162" i="1"/>
  <c r="S162" i="1"/>
  <c r="L163" i="1"/>
  <c r="P162" i="1"/>
  <c r="L255" i="1"/>
  <c r="S254" i="1"/>
  <c r="P254" i="1"/>
  <c r="Q254" i="1"/>
  <c r="L193" i="1"/>
  <c r="S192" i="1"/>
  <c r="Q192" i="1"/>
  <c r="P192" i="1"/>
  <c r="Z193" i="1" l="1"/>
  <c r="R193" i="1"/>
  <c r="Z224" i="1"/>
  <c r="R224" i="1"/>
  <c r="Z255" i="1"/>
  <c r="R255" i="1"/>
  <c r="Z285" i="1"/>
  <c r="R285" i="1"/>
  <c r="Z163" i="1"/>
  <c r="R163" i="1"/>
  <c r="L134" i="1"/>
  <c r="R133" i="1"/>
  <c r="Z133" i="1"/>
  <c r="P285" i="1"/>
  <c r="Q285" i="1"/>
  <c r="S285" i="1"/>
  <c r="L286" i="1"/>
  <c r="L225" i="1"/>
  <c r="Q224" i="1"/>
  <c r="S224" i="1"/>
  <c r="P224" i="1"/>
  <c r="S132" i="1"/>
  <c r="Q132" i="1"/>
  <c r="P132" i="1"/>
  <c r="Q163" i="1"/>
  <c r="S163" i="1"/>
  <c r="L164" i="1"/>
  <c r="P163" i="1"/>
  <c r="L194" i="1"/>
  <c r="S193" i="1"/>
  <c r="Q193" i="1"/>
  <c r="P193" i="1"/>
  <c r="P255" i="1"/>
  <c r="L256" i="1"/>
  <c r="Q255" i="1"/>
  <c r="S255" i="1"/>
  <c r="L135" i="1" l="1"/>
  <c r="R134" i="1"/>
  <c r="Z134" i="1"/>
  <c r="Z164" i="1"/>
  <c r="R164" i="1"/>
  <c r="Z225" i="1"/>
  <c r="R225" i="1"/>
  <c r="Z194" i="1"/>
  <c r="R194" i="1"/>
  <c r="Z256" i="1"/>
  <c r="R256" i="1"/>
  <c r="Z286" i="1"/>
  <c r="R286" i="1"/>
  <c r="Q286" i="1"/>
  <c r="P286" i="1"/>
  <c r="P225" i="1"/>
  <c r="L287" i="1"/>
  <c r="S286" i="1"/>
  <c r="Q225" i="1"/>
  <c r="S225" i="1"/>
  <c r="L226" i="1"/>
  <c r="P133" i="1"/>
  <c r="Q133" i="1"/>
  <c r="S133" i="1"/>
  <c r="S164" i="1"/>
  <c r="Q164" i="1"/>
  <c r="L165" i="1"/>
  <c r="P164" i="1"/>
  <c r="L195" i="1"/>
  <c r="S194" i="1"/>
  <c r="Q194" i="1"/>
  <c r="P194" i="1"/>
  <c r="L257" i="1"/>
  <c r="S256" i="1"/>
  <c r="P256" i="1"/>
  <c r="Q256" i="1"/>
  <c r="Z165" i="1" l="1"/>
  <c r="R165" i="1"/>
  <c r="Z287" i="1"/>
  <c r="R287" i="1"/>
  <c r="Z226" i="1"/>
  <c r="R226" i="1"/>
  <c r="Z257" i="1"/>
  <c r="R257" i="1"/>
  <c r="Z195" i="1"/>
  <c r="R195" i="1"/>
  <c r="L136" i="1"/>
  <c r="R135" i="1"/>
  <c r="Z135" i="1"/>
  <c r="P287" i="1"/>
  <c r="Q287" i="1"/>
  <c r="S287" i="1"/>
  <c r="L288" i="1"/>
  <c r="Q226" i="1"/>
  <c r="L227" i="1"/>
  <c r="P226" i="1"/>
  <c r="S226" i="1"/>
  <c r="P134" i="1"/>
  <c r="Q134" i="1"/>
  <c r="S134" i="1"/>
  <c r="S165" i="1"/>
  <c r="P165" i="1"/>
  <c r="L166" i="1"/>
  <c r="Q165" i="1"/>
  <c r="P257" i="1"/>
  <c r="L258" i="1"/>
  <c r="S257" i="1"/>
  <c r="Q257" i="1"/>
  <c r="Q288" i="1"/>
  <c r="L196" i="1"/>
  <c r="S195" i="1"/>
  <c r="Q195" i="1"/>
  <c r="P195" i="1"/>
  <c r="Z166" i="1" l="1"/>
  <c r="R166" i="1"/>
  <c r="L137" i="1"/>
  <c r="R136" i="1"/>
  <c r="Z136" i="1"/>
  <c r="Z196" i="1"/>
  <c r="R196" i="1"/>
  <c r="Z288" i="1"/>
  <c r="R288" i="1"/>
  <c r="Z227" i="1"/>
  <c r="R227" i="1"/>
  <c r="Z258" i="1"/>
  <c r="R258" i="1"/>
  <c r="S288" i="1"/>
  <c r="L289" i="1"/>
  <c r="P288" i="1"/>
  <c r="P227" i="1"/>
  <c r="L228" i="1"/>
  <c r="P228" i="1" s="1"/>
  <c r="Q227" i="1"/>
  <c r="S227" i="1"/>
  <c r="S135" i="1"/>
  <c r="P135" i="1"/>
  <c r="Q135" i="1"/>
  <c r="P166" i="1"/>
  <c r="S166" i="1"/>
  <c r="L167" i="1"/>
  <c r="Q166" i="1"/>
  <c r="L197" i="1"/>
  <c r="S196" i="1"/>
  <c r="P196" i="1"/>
  <c r="Q196" i="1"/>
  <c r="L259" i="1"/>
  <c r="S258" i="1"/>
  <c r="P258" i="1"/>
  <c r="Q258" i="1"/>
  <c r="Z167" i="1" l="1"/>
  <c r="R167" i="1"/>
  <c r="Z259" i="1"/>
  <c r="R259" i="1"/>
  <c r="L138" i="1"/>
  <c r="R137" i="1"/>
  <c r="Z137" i="1"/>
  <c r="Z228" i="1"/>
  <c r="R228" i="1"/>
  <c r="Z197" i="1"/>
  <c r="R197" i="1"/>
  <c r="L229" i="1"/>
  <c r="P229" i="1" s="1"/>
  <c r="Z289" i="1"/>
  <c r="R289" i="1"/>
  <c r="L290" i="1"/>
  <c r="P290" i="1" s="1"/>
  <c r="Q228" i="1"/>
  <c r="S289" i="1"/>
  <c r="S228" i="1"/>
  <c r="P289" i="1"/>
  <c r="Q289" i="1"/>
  <c r="P136" i="1"/>
  <c r="S136" i="1"/>
  <c r="Q136" i="1"/>
  <c r="Q167" i="1"/>
  <c r="L168" i="1"/>
  <c r="P167" i="1"/>
  <c r="S167" i="1"/>
  <c r="L198" i="1"/>
  <c r="S197" i="1"/>
  <c r="Q197" i="1"/>
  <c r="P197" i="1"/>
  <c r="P259" i="1"/>
  <c r="S259" i="1"/>
  <c r="L260" i="1"/>
  <c r="Q259" i="1"/>
  <c r="Z229" i="1" l="1"/>
  <c r="R229" i="1"/>
  <c r="Z168" i="1"/>
  <c r="R168" i="1"/>
  <c r="Z198" i="1"/>
  <c r="R198" i="1"/>
  <c r="Q229" i="1"/>
  <c r="Z290" i="1"/>
  <c r="R290" i="1"/>
  <c r="Z260" i="1"/>
  <c r="R260" i="1"/>
  <c r="Q290" i="1"/>
  <c r="L291" i="1"/>
  <c r="S291" i="1" s="1"/>
  <c r="L230" i="1"/>
  <c r="L231" i="1" s="1"/>
  <c r="L139" i="1"/>
  <c r="R138" i="1"/>
  <c r="Z138" i="1"/>
  <c r="S229" i="1"/>
  <c r="S290" i="1"/>
  <c r="S137" i="1"/>
  <c r="Q137" i="1"/>
  <c r="P137" i="1"/>
  <c r="S168" i="1"/>
  <c r="Q168" i="1"/>
  <c r="L169" i="1"/>
  <c r="P168" i="1"/>
  <c r="L261" i="1"/>
  <c r="S260" i="1"/>
  <c r="P260" i="1"/>
  <c r="Q260" i="1"/>
  <c r="L199" i="1"/>
  <c r="S198" i="1"/>
  <c r="Q198" i="1"/>
  <c r="P198" i="1"/>
  <c r="Z231" i="1" l="1"/>
  <c r="R231" i="1"/>
  <c r="P230" i="1"/>
  <c r="S230" i="1"/>
  <c r="Z169" i="1"/>
  <c r="R169" i="1"/>
  <c r="Z199" i="1"/>
  <c r="R199" i="1"/>
  <c r="Z261" i="1"/>
  <c r="R261" i="1"/>
  <c r="Q230" i="1"/>
  <c r="Q291" i="1"/>
  <c r="Z230" i="1"/>
  <c r="R230" i="1"/>
  <c r="Z291" i="1"/>
  <c r="R291" i="1"/>
  <c r="P291" i="1"/>
  <c r="L292" i="1"/>
  <c r="Q292" i="1" s="1"/>
  <c r="L140" i="1"/>
  <c r="R139" i="1"/>
  <c r="Z139" i="1"/>
  <c r="Q138" i="1"/>
  <c r="S138" i="1"/>
  <c r="P138" i="1"/>
  <c r="S169" i="1"/>
  <c r="P169" i="1"/>
  <c r="L170" i="1"/>
  <c r="Q169" i="1"/>
  <c r="P199" i="1"/>
  <c r="S199" i="1"/>
  <c r="L200" i="1"/>
  <c r="Q199" i="1"/>
  <c r="S231" i="1"/>
  <c r="Q231" i="1"/>
  <c r="P231" i="1"/>
  <c r="L232" i="1"/>
  <c r="P261" i="1"/>
  <c r="S261" i="1"/>
  <c r="L262" i="1"/>
  <c r="Q261" i="1"/>
  <c r="L293" i="1" l="1"/>
  <c r="S293" i="1" s="1"/>
  <c r="Z140" i="1"/>
  <c r="R140" i="1"/>
  <c r="Z292" i="1"/>
  <c r="R292" i="1"/>
  <c r="Z170" i="1"/>
  <c r="R170" i="1"/>
  <c r="Z200" i="1"/>
  <c r="R200" i="1"/>
  <c r="S292" i="1"/>
  <c r="P292" i="1"/>
  <c r="Z232" i="1"/>
  <c r="R232" i="1"/>
  <c r="Z262" i="1"/>
  <c r="R262" i="1"/>
  <c r="Q139" i="1"/>
  <c r="P139" i="1"/>
  <c r="S139" i="1"/>
  <c r="L171" i="1"/>
  <c r="Q170" i="1"/>
  <c r="S170" i="1"/>
  <c r="P170" i="1"/>
  <c r="L263" i="1"/>
  <c r="S262" i="1"/>
  <c r="P262" i="1"/>
  <c r="Q262" i="1"/>
  <c r="L201" i="1"/>
  <c r="S200" i="1"/>
  <c r="Q200" i="1"/>
  <c r="P200" i="1"/>
  <c r="S232" i="1"/>
  <c r="L233" i="1"/>
  <c r="Q232" i="1"/>
  <c r="P232" i="1"/>
  <c r="L294" i="1" l="1"/>
  <c r="Q294" i="1" s="1"/>
  <c r="R293" i="1"/>
  <c r="Z293" i="1"/>
  <c r="P293" i="1"/>
  <c r="Q293" i="1"/>
  <c r="Z171" i="1"/>
  <c r="R171" i="1"/>
  <c r="Z263" i="1"/>
  <c r="R263" i="1"/>
  <c r="Z233" i="1"/>
  <c r="R233" i="1"/>
  <c r="Z201" i="1"/>
  <c r="R201" i="1"/>
  <c r="P140" i="1"/>
  <c r="S140" i="1"/>
  <c r="Q140" i="1"/>
  <c r="P171" i="1"/>
  <c r="S171" i="1"/>
  <c r="L172" i="1"/>
  <c r="Q171" i="1"/>
  <c r="L202" i="1"/>
  <c r="S201" i="1"/>
  <c r="Q201" i="1"/>
  <c r="P201" i="1"/>
  <c r="L234" i="1"/>
  <c r="Q233" i="1"/>
  <c r="P233" i="1"/>
  <c r="S233" i="1"/>
  <c r="P263" i="1"/>
  <c r="S263" i="1"/>
  <c r="L264" i="1"/>
  <c r="Q263" i="1"/>
  <c r="R294" i="1" l="1"/>
  <c r="Z294" i="1"/>
  <c r="L295" i="1"/>
  <c r="R295" i="1" s="1"/>
  <c r="S294" i="1"/>
  <c r="P294" i="1"/>
  <c r="Z234" i="1"/>
  <c r="R234" i="1"/>
  <c r="Z264" i="1"/>
  <c r="R264" i="1"/>
  <c r="Z202" i="1"/>
  <c r="R202" i="1"/>
  <c r="Z172" i="1"/>
  <c r="R172" i="1"/>
  <c r="Z295" i="1"/>
  <c r="S141" i="1"/>
  <c r="P141" i="1"/>
  <c r="Q141" i="1"/>
  <c r="P172" i="1"/>
  <c r="Q172" i="1"/>
  <c r="S172" i="1"/>
  <c r="L173" i="1"/>
  <c r="S234" i="1"/>
  <c r="L235" i="1"/>
  <c r="Q234" i="1"/>
  <c r="P234" i="1"/>
  <c r="L265" i="1"/>
  <c r="S264" i="1"/>
  <c r="P264" i="1"/>
  <c r="Q264" i="1"/>
  <c r="L203" i="1"/>
  <c r="S202" i="1"/>
  <c r="Q202" i="1"/>
  <c r="P202" i="1"/>
  <c r="P295" i="1" l="1"/>
  <c r="Q295" i="1"/>
  <c r="L296" i="1"/>
  <c r="Z296" i="1" s="1"/>
  <c r="S295" i="1"/>
  <c r="Z235" i="1"/>
  <c r="R235" i="1"/>
  <c r="Z173" i="1"/>
  <c r="R173" i="1"/>
  <c r="Z265" i="1"/>
  <c r="R265" i="1"/>
  <c r="Z203" i="1"/>
  <c r="R203" i="1"/>
  <c r="S142" i="1"/>
  <c r="Q142" i="1"/>
  <c r="P142" i="1"/>
  <c r="Q173" i="1"/>
  <c r="S173" i="1"/>
  <c r="L174" i="1"/>
  <c r="P173" i="1"/>
  <c r="P265" i="1"/>
  <c r="S265" i="1"/>
  <c r="L266" i="1"/>
  <c r="Q265" i="1"/>
  <c r="S235" i="1"/>
  <c r="L236" i="1"/>
  <c r="Q235" i="1"/>
  <c r="P235" i="1"/>
  <c r="L204" i="1"/>
  <c r="S203" i="1"/>
  <c r="Q203" i="1"/>
  <c r="P203" i="1"/>
  <c r="S296" i="1" l="1"/>
  <c r="L297" i="1"/>
  <c r="P297" i="1" s="1"/>
  <c r="Q296" i="1"/>
  <c r="P296" i="1"/>
  <c r="R296" i="1"/>
  <c r="Z236" i="1"/>
  <c r="R236" i="1"/>
  <c r="Z297" i="1"/>
  <c r="R297" i="1"/>
  <c r="Z266" i="1"/>
  <c r="R266" i="1"/>
  <c r="Z204" i="1"/>
  <c r="R204" i="1"/>
  <c r="Z174" i="1"/>
  <c r="R174" i="1"/>
  <c r="S143" i="1"/>
  <c r="Q143" i="1"/>
  <c r="P143" i="1"/>
  <c r="Q174" i="1"/>
  <c r="P174" i="1"/>
  <c r="S174" i="1"/>
  <c r="L175" i="1"/>
  <c r="L267" i="1"/>
  <c r="S266" i="1"/>
  <c r="P266" i="1"/>
  <c r="Q266" i="1"/>
  <c r="P236" i="1"/>
  <c r="S236" i="1"/>
  <c r="Q236" i="1"/>
  <c r="L237" i="1"/>
  <c r="L205" i="1"/>
  <c r="S204" i="1"/>
  <c r="P204" i="1"/>
  <c r="Q204" i="1"/>
  <c r="L298" i="1"/>
  <c r="S297" i="1"/>
  <c r="Q297" i="1"/>
  <c r="Z205" i="1" l="1"/>
  <c r="R205" i="1"/>
  <c r="Z237" i="1"/>
  <c r="R237" i="1"/>
  <c r="Z267" i="1"/>
  <c r="R267" i="1"/>
  <c r="Z175" i="1"/>
  <c r="R175" i="1"/>
  <c r="Z298" i="1"/>
  <c r="R298" i="1"/>
  <c r="S144" i="1"/>
  <c r="Q144" i="1"/>
  <c r="P144" i="1"/>
  <c r="P175" i="1"/>
  <c r="L176" i="1"/>
  <c r="Q175" i="1"/>
  <c r="S175" i="1"/>
  <c r="L206" i="1"/>
  <c r="S205" i="1"/>
  <c r="Q205" i="1"/>
  <c r="P205" i="1"/>
  <c r="Q298" i="1"/>
  <c r="P298" i="1"/>
  <c r="S298" i="1"/>
  <c r="L299" i="1"/>
  <c r="S237" i="1"/>
  <c r="L238" i="1"/>
  <c r="Q237" i="1"/>
  <c r="P237" i="1"/>
  <c r="P267" i="1"/>
  <c r="S267" i="1"/>
  <c r="L268" i="1"/>
  <c r="Q267" i="1"/>
  <c r="Z299" i="1" l="1"/>
  <c r="R299" i="1"/>
  <c r="Z238" i="1"/>
  <c r="R238" i="1"/>
  <c r="Z268" i="1"/>
  <c r="R268" i="1"/>
  <c r="Z206" i="1"/>
  <c r="R206" i="1"/>
  <c r="Z176" i="1"/>
  <c r="R176" i="1"/>
  <c r="P145" i="1"/>
  <c r="S145" i="1"/>
  <c r="Q145" i="1"/>
  <c r="P176" i="1"/>
  <c r="S176" i="1"/>
  <c r="L177" i="1"/>
  <c r="Q176" i="1"/>
  <c r="Q238" i="1"/>
  <c r="S238" i="1"/>
  <c r="L239" i="1"/>
  <c r="P238" i="1"/>
  <c r="L300" i="1"/>
  <c r="S299" i="1"/>
  <c r="Q299" i="1"/>
  <c r="P299" i="1"/>
  <c r="L207" i="1"/>
  <c r="S206" i="1"/>
  <c r="Q206" i="1"/>
  <c r="P206" i="1"/>
  <c r="L269" i="1"/>
  <c r="S268" i="1"/>
  <c r="P268" i="1"/>
  <c r="Q268" i="1"/>
  <c r="Z300" i="1" l="1"/>
  <c r="R300" i="1"/>
  <c r="Z239" i="1"/>
  <c r="R239" i="1"/>
  <c r="Z207" i="1"/>
  <c r="R207" i="1"/>
  <c r="Z269" i="1"/>
  <c r="R269" i="1"/>
  <c r="Z177" i="1"/>
  <c r="R177" i="1"/>
  <c r="Q146" i="1"/>
  <c r="P146" i="1"/>
  <c r="S146" i="1"/>
  <c r="L178" i="1"/>
  <c r="Q177" i="1"/>
  <c r="P177" i="1"/>
  <c r="S177" i="1"/>
  <c r="P207" i="1"/>
  <c r="S207" i="1"/>
  <c r="L208" i="1"/>
  <c r="Q207" i="1"/>
  <c r="P269" i="1"/>
  <c r="S269" i="1"/>
  <c r="L270" i="1"/>
  <c r="Q269" i="1"/>
  <c r="Q300" i="1"/>
  <c r="P300" i="1"/>
  <c r="S300" i="1"/>
  <c r="L301" i="1"/>
  <c r="P239" i="1"/>
  <c r="L240" i="1"/>
  <c r="Q239" i="1"/>
  <c r="S239" i="1"/>
  <c r="Z301" i="1" l="1"/>
  <c r="R301" i="1"/>
  <c r="Z178" i="1"/>
  <c r="R178" i="1"/>
  <c r="Z270" i="1"/>
  <c r="R270" i="1"/>
  <c r="Z208" i="1"/>
  <c r="R208" i="1"/>
  <c r="Z240" i="1"/>
  <c r="R240" i="1"/>
  <c r="S147" i="1"/>
  <c r="Q147" i="1"/>
  <c r="P147" i="1"/>
  <c r="Q178" i="1"/>
  <c r="L179" i="1"/>
  <c r="P178" i="1"/>
  <c r="S178" i="1"/>
  <c r="L271" i="1"/>
  <c r="S270" i="1"/>
  <c r="P270" i="1"/>
  <c r="Q270" i="1"/>
  <c r="Q240" i="1"/>
  <c r="S240" i="1"/>
  <c r="L241" i="1"/>
  <c r="P240" i="1"/>
  <c r="L209" i="1"/>
  <c r="S208" i="1"/>
  <c r="Q208" i="1"/>
  <c r="P208" i="1"/>
  <c r="L302" i="1"/>
  <c r="S301" i="1"/>
  <c r="Q301" i="1"/>
  <c r="P301" i="1"/>
  <c r="Z209" i="1" l="1"/>
  <c r="R209" i="1"/>
  <c r="Z179" i="1"/>
  <c r="R179" i="1"/>
  <c r="Z271" i="1"/>
  <c r="R271" i="1"/>
  <c r="Z241" i="1"/>
  <c r="R241" i="1"/>
  <c r="Z302" i="1"/>
  <c r="R302" i="1"/>
  <c r="S148" i="1"/>
  <c r="Q148" i="1"/>
  <c r="P148" i="1"/>
  <c r="P179" i="1"/>
  <c r="L180" i="1"/>
  <c r="S179" i="1"/>
  <c r="Q179" i="1"/>
  <c r="L210" i="1"/>
  <c r="S209" i="1"/>
  <c r="Q209" i="1"/>
  <c r="P209" i="1"/>
  <c r="S241" i="1"/>
  <c r="L242" i="1"/>
  <c r="Q241" i="1"/>
  <c r="P241" i="1"/>
  <c r="Q302" i="1"/>
  <c r="P302" i="1"/>
  <c r="S302" i="1"/>
  <c r="L303" i="1"/>
  <c r="P271" i="1"/>
  <c r="L272" i="1"/>
  <c r="Q271" i="1"/>
  <c r="S271" i="1"/>
  <c r="Z242" i="1" l="1"/>
  <c r="R242" i="1"/>
  <c r="Z210" i="1"/>
  <c r="R210" i="1"/>
  <c r="Z272" i="1"/>
  <c r="R272" i="1"/>
  <c r="Z303" i="1"/>
  <c r="R303" i="1"/>
  <c r="Z180" i="1"/>
  <c r="R180" i="1"/>
  <c r="S149" i="1"/>
  <c r="Q149" i="1"/>
  <c r="P149" i="1"/>
  <c r="L181" i="1"/>
  <c r="Q180" i="1"/>
  <c r="S180" i="1"/>
  <c r="P180" i="1"/>
  <c r="L273" i="1"/>
  <c r="S272" i="1"/>
  <c r="P272" i="1"/>
  <c r="Q272" i="1"/>
  <c r="S303" i="1"/>
  <c r="Q303" i="1"/>
  <c r="P303" i="1"/>
  <c r="Q242" i="1"/>
  <c r="L243" i="1"/>
  <c r="P242" i="1"/>
  <c r="S242" i="1"/>
  <c r="L211" i="1"/>
  <c r="S210" i="1"/>
  <c r="Q210" i="1"/>
  <c r="P210" i="1"/>
  <c r="Z243" i="1" l="1"/>
  <c r="R243" i="1"/>
  <c r="Z211" i="1"/>
  <c r="R211" i="1"/>
  <c r="Z181" i="1"/>
  <c r="R181" i="1"/>
  <c r="Z273" i="1"/>
  <c r="R273" i="1"/>
  <c r="P150" i="1"/>
  <c r="S150" i="1"/>
  <c r="Q150" i="1"/>
  <c r="P181" i="1"/>
  <c r="L182" i="1"/>
  <c r="Q181" i="1"/>
  <c r="S181" i="1"/>
  <c r="P273" i="1"/>
  <c r="S273" i="1"/>
  <c r="Q273" i="1"/>
  <c r="L274" i="1"/>
  <c r="L212" i="1"/>
  <c r="S211" i="1"/>
  <c r="Q211" i="1"/>
  <c r="P211" i="1"/>
  <c r="S243" i="1"/>
  <c r="L244" i="1"/>
  <c r="Q243" i="1"/>
  <c r="P243" i="1"/>
  <c r="Z212" i="1" l="1"/>
  <c r="R212" i="1"/>
  <c r="Z274" i="1"/>
  <c r="R274" i="1"/>
  <c r="Z182" i="1"/>
  <c r="R182" i="1"/>
  <c r="Z244" i="1"/>
  <c r="R244" i="1"/>
  <c r="S151" i="1"/>
  <c r="Q151" i="1"/>
  <c r="P151" i="1"/>
  <c r="P182" i="1"/>
  <c r="Q182" i="1"/>
  <c r="S182" i="1"/>
  <c r="L213" i="1"/>
  <c r="S212" i="1"/>
  <c r="P212" i="1"/>
  <c r="Q212" i="1"/>
  <c r="S274" i="1"/>
  <c r="P274" i="1"/>
  <c r="Q274" i="1"/>
  <c r="Q244" i="1"/>
  <c r="S244" i="1"/>
  <c r="P244" i="1"/>
  <c r="Z213" i="1" l="1"/>
  <c r="R213" i="1"/>
  <c r="P152" i="1"/>
  <c r="S152" i="1"/>
  <c r="Q152" i="1"/>
  <c r="S213" i="1"/>
  <c r="Q213" i="1"/>
  <c r="P2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tc={D61C21B9-A895-4FD9-833F-2192C93D5C19}</author>
    <author>tc={75710818-43F3-498E-9C87-0B68A67854D9}</author>
  </authors>
  <commentList>
    <comment ref="F365" authorId="0" shapeId="0" xr:uid="{D61C21B9-A895-4FD9-833F-2192C93D5C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Datos usados de la app
</t>
      </text>
    </comment>
    <comment ref="Z365" authorId="1" shapeId="0" xr:uid="{75710818-43F3-498E-9C87-0B68A67854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Uso de app</t>
      </text>
    </comment>
  </commentList>
</comments>
</file>

<file path=xl/sharedStrings.xml><?xml version="1.0" encoding="utf-8"?>
<sst xmlns="http://schemas.openxmlformats.org/spreadsheetml/2006/main" count="277" uniqueCount="196">
  <si>
    <t>1 KWH</t>
  </si>
  <si>
    <t>2KWH</t>
  </si>
  <si>
    <t>3KWH</t>
  </si>
  <si>
    <t>4KWH</t>
  </si>
  <si>
    <t>5KWH</t>
  </si>
  <si>
    <t>6KWA</t>
  </si>
  <si>
    <t>7KWA</t>
  </si>
  <si>
    <t>8KWA</t>
  </si>
  <si>
    <t>9KWA</t>
  </si>
  <si>
    <t>10 KVARH</t>
  </si>
  <si>
    <t>15 HORA</t>
  </si>
  <si>
    <t>fecha</t>
  </si>
  <si>
    <t>fp</t>
  </si>
  <si>
    <t>Factor Demanda</t>
  </si>
  <si>
    <t>Max Factor Medido</t>
  </si>
  <si>
    <t>DIA</t>
  </si>
  <si>
    <t>MES</t>
  </si>
  <si>
    <t>Semana</t>
  </si>
  <si>
    <t>MES EN-DC</t>
  </si>
  <si>
    <t>kwreal 6</t>
  </si>
  <si>
    <t>kwreal 7</t>
  </si>
  <si>
    <t>kwreal 8</t>
  </si>
  <si>
    <t>kwreal 9</t>
  </si>
  <si>
    <t>kreal fact max</t>
  </si>
  <si>
    <t>Fpbase</t>
  </si>
  <si>
    <t>AÑO</t>
  </si>
  <si>
    <t>LineaBase-FD</t>
  </si>
  <si>
    <t>FactorDemanda-Base</t>
  </si>
  <si>
    <t>07-20</t>
  </si>
  <si>
    <t>07-29</t>
  </si>
  <si>
    <t>07-10</t>
  </si>
  <si>
    <t>07-05</t>
  </si>
  <si>
    <t>07-25</t>
  </si>
  <si>
    <t>07-00</t>
  </si>
  <si>
    <t>06-56</t>
  </si>
  <si>
    <t>07-09</t>
  </si>
  <si>
    <t>08-00</t>
  </si>
  <si>
    <t>07-07</t>
  </si>
  <si>
    <t>14-54</t>
  </si>
  <si>
    <t>13/01/2025</t>
  </si>
  <si>
    <t>14/01/2025</t>
  </si>
  <si>
    <t>07-14</t>
  </si>
  <si>
    <t>15/01/2025</t>
  </si>
  <si>
    <t>08-06</t>
  </si>
  <si>
    <t>16/01/2025</t>
  </si>
  <si>
    <t>07-49</t>
  </si>
  <si>
    <t>17/01/2025</t>
  </si>
  <si>
    <t>07-03</t>
  </si>
  <si>
    <t>18/01/2025</t>
  </si>
  <si>
    <t>08-28</t>
  </si>
  <si>
    <t>19/01/2025</t>
  </si>
  <si>
    <t>06-57</t>
  </si>
  <si>
    <t>20/01/2025</t>
  </si>
  <si>
    <t>09-19</t>
  </si>
  <si>
    <t>21/01/2025</t>
  </si>
  <si>
    <t>07-06</t>
  </si>
  <si>
    <t>22/01/2025</t>
  </si>
  <si>
    <t>07-28</t>
  </si>
  <si>
    <t>23/01/2025</t>
  </si>
  <si>
    <t>24/01/2025</t>
  </si>
  <si>
    <t>12-54</t>
  </si>
  <si>
    <t>25/01/2025</t>
  </si>
  <si>
    <t>14-59</t>
  </si>
  <si>
    <t>26/01/2025</t>
  </si>
  <si>
    <t>06-45</t>
  </si>
  <si>
    <t>27/01/2025</t>
  </si>
  <si>
    <t>07-19</t>
  </si>
  <si>
    <t>28/01/2025</t>
  </si>
  <si>
    <t>07-18</t>
  </si>
  <si>
    <t>29/01/2025</t>
  </si>
  <si>
    <t>30/01/2025</t>
  </si>
  <si>
    <t>31/01/2025</t>
  </si>
  <si>
    <t>07-22</t>
  </si>
  <si>
    <t>08-16</t>
  </si>
  <si>
    <t>13-15</t>
  </si>
  <si>
    <t>07-15</t>
  </si>
  <si>
    <t>07-50</t>
  </si>
  <si>
    <t>09-40</t>
  </si>
  <si>
    <t>10-03</t>
  </si>
  <si>
    <t>10-02</t>
  </si>
  <si>
    <t>10-00</t>
  </si>
  <si>
    <t>13/02/2025</t>
  </si>
  <si>
    <t>14/02/2025</t>
  </si>
  <si>
    <t>15/02/2025</t>
  </si>
  <si>
    <t>07-12</t>
  </si>
  <si>
    <t>16/02/2025</t>
  </si>
  <si>
    <t>08-30</t>
  </si>
  <si>
    <t>17/02/2025</t>
  </si>
  <si>
    <t>07-17</t>
  </si>
  <si>
    <t>18/02/2025</t>
  </si>
  <si>
    <t>19/02/2025</t>
  </si>
  <si>
    <t>20/02/2025</t>
  </si>
  <si>
    <t>07-30</t>
  </si>
  <si>
    <t>21/02/2025</t>
  </si>
  <si>
    <t>07-39</t>
  </si>
  <si>
    <t>22/02/2025</t>
  </si>
  <si>
    <t>10-48</t>
  </si>
  <si>
    <t>23/02/2025</t>
  </si>
  <si>
    <t>12-11</t>
  </si>
  <si>
    <t>24/02/2025</t>
  </si>
  <si>
    <t>10-30</t>
  </si>
  <si>
    <t>25/02/2025</t>
  </si>
  <si>
    <t>07-47</t>
  </si>
  <si>
    <t>26/02/2025</t>
  </si>
  <si>
    <t>07-48</t>
  </si>
  <si>
    <t>27/02/2025</t>
  </si>
  <si>
    <t>07-24</t>
  </si>
  <si>
    <t>28/02/2025</t>
  </si>
  <si>
    <t>07-08</t>
  </si>
  <si>
    <t>09-36</t>
  </si>
  <si>
    <t>15-13</t>
  </si>
  <si>
    <t>08-25</t>
  </si>
  <si>
    <t>05-32</t>
  </si>
  <si>
    <t>07-32</t>
  </si>
  <si>
    <t>13/03/2025</t>
  </si>
  <si>
    <t>07-35</t>
  </si>
  <si>
    <t>14/03/2025</t>
  </si>
  <si>
    <t>15/03/2025</t>
  </si>
  <si>
    <t>16/03/2025</t>
  </si>
  <si>
    <t>07-26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</si>
  <si>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</si>
  <si>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</si>
  <si>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</si>
  <si>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</si>
  <si>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</si>
  <si>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</si>
  <si>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</si>
  <si>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08-33</t>
  </si>
  <si>
    <t>24/03/2025</t>
  </si>
  <si>
    <t>25/03/2025</t>
  </si>
  <si>
    <t>07-51</t>
  </si>
  <si>
    <t>26/03/2025</t>
  </si>
  <si>
    <t>27/03/2025</t>
  </si>
  <si>
    <t>28/03/2025</t>
  </si>
  <si>
    <t>29/03/2025</t>
  </si>
  <si>
    <t>11-45</t>
  </si>
  <si>
    <t>30/03/2025</t>
  </si>
  <si>
    <t>07-41</t>
  </si>
  <si>
    <t>31/03/2025</t>
  </si>
  <si>
    <t>09-55</t>
  </si>
  <si>
    <t>10-32</t>
  </si>
  <si>
    <t>07-42</t>
  </si>
  <si>
    <t>08-54</t>
  </si>
  <si>
    <t>09-06</t>
  </si>
  <si>
    <t>07-04</t>
  </si>
  <si>
    <t>10-59</t>
  </si>
  <si>
    <t>11-00</t>
  </si>
  <si>
    <t>13/04/2025</t>
  </si>
  <si>
    <t>09-34</t>
  </si>
  <si>
    <t>14/04/2025</t>
  </si>
  <si>
    <t>15/04/2025</t>
  </si>
  <si>
    <t>16/04/2025</t>
  </si>
  <si>
    <t>14-03</t>
  </si>
  <si>
    <t>17/04/2025</t>
  </si>
  <si>
    <t>09-12</t>
  </si>
  <si>
    <t>18/04/2025</t>
  </si>
  <si>
    <t>08-15</t>
  </si>
  <si>
    <t>19/04/2025</t>
  </si>
  <si>
    <t>10-22</t>
  </si>
  <si>
    <t>20/04/2025</t>
  </si>
  <si>
    <t>07-36</t>
  </si>
  <si>
    <t>21/04/2025</t>
  </si>
  <si>
    <t>13-00</t>
  </si>
  <si>
    <t>22/04/2025</t>
  </si>
  <si>
    <t>07-23</t>
  </si>
  <si>
    <t>23/04/2025</t>
  </si>
  <si>
    <t>07-27</t>
  </si>
  <si>
    <t>24/04/2025</t>
  </si>
  <si>
    <t>25/04/2025</t>
  </si>
  <si>
    <t>26/04/2025</t>
  </si>
  <si>
    <t>27/04/2025</t>
  </si>
  <si>
    <t>07-11</t>
  </si>
  <si>
    <t>28/04/2025</t>
  </si>
  <si>
    <t>10-08</t>
  </si>
  <si>
    <t>29/04/2025</t>
  </si>
  <si>
    <t>30/04/2025</t>
  </si>
  <si>
    <t>07-45</t>
  </si>
  <si>
    <t>07-40</t>
  </si>
  <si>
    <t>07-02</t>
  </si>
  <si>
    <t>10-15</t>
  </si>
  <si>
    <t>07-16</t>
  </si>
  <si>
    <t>07-01</t>
  </si>
  <si>
    <t>0-00</t>
  </si>
  <si>
    <t>Etiquetas de fila</t>
  </si>
  <si>
    <t>08H00 A 18H00</t>
  </si>
  <si>
    <t>18H00 A 22H00</t>
  </si>
  <si>
    <t>22H00 A 08H00</t>
  </si>
  <si>
    <t>S,D,F 18H00 A 22H00</t>
  </si>
  <si>
    <t>Promedio de kreal fact max</t>
  </si>
  <si>
    <t>Promedio de LineaBase-FD</t>
  </si>
  <si>
    <t>Total general</t>
  </si>
  <si>
    <t>Promedio de Max Factor Medido</t>
  </si>
  <si>
    <t>Promedio de FactorDemanda-Base</t>
  </si>
  <si>
    <t>marzo</t>
  </si>
  <si>
    <t>Promedio de Fpbase</t>
  </si>
  <si>
    <t>Promedio de 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</si>
</sst>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_);_(* \(#,##0\);_(* &quot;-&quot;??_);_(@_)"/>
    <numFmt numFmtId="165" formatCode="_(* #,##0.000_);_(* \(#,##0.000\);_(* &quot;-&quot;??_);_(@_)"/>
    <numFmt numFmtId="166" formatCode="#,##0.00000"/>
    <numFmt numFmtId="167" formatCode="_(* #,##0.0000_);_(* \(#,##0.0000\);_(* &quot;-&quot;??_);_(@_)"/>
    <numFmt numFmtId="168" formatCode="#,##0.0000"/>
    <numFmt numFmtId="169" formatCode="0.000"/>
    <numFmt numFmtId="170" formatCode="#,##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43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14" fontId="0" fillId="2" borderId="1" xfId="0" applyNumberFormat="1" applyFill="1" applyBorder="1" applyAlignment="1">
      <alignment horizontal="right"/>
    </xf>
    <xf numFmtId="0" fontId="3" fillId="2" borderId="1" xfId="0" applyFont="1" applyFill="1" applyBorder="1"/>
    <xf numFmtId="0" fontId="0" fillId="2" borderId="1" xfId="0" applyFill="1" applyBorder="1"/>
    <xf numFmtId="14" fontId="3" fillId="2" borderId="1" xfId="0" applyNumberFormat="1" applyFont="1" applyFill="1" applyBorder="1" applyAlignment="1">
      <alignment horizontal="right"/>
    </xf>
    <xf numFmtId="14" fontId="0" fillId="2" borderId="1" xfId="0" applyNumberFormat="1" applyFill="1" applyBorder="1"/>
    <xf numFmtId="14" fontId="3" fillId="2" borderId="1" xfId="0" applyNumberFormat="1" applyFont="1" applyFill="1" applyBorder="1"/>
    <xf numFmtId="21" fontId="3" fillId="2" borderId="1" xfId="0" applyNumberFormat="1" applyFont="1" applyFill="1" applyBorder="1"/>
    <xf numFmtId="20" fontId="3" fillId="2" borderId="1" xfId="0" applyNumberFormat="1" applyFont="1" applyFill="1" applyBorder="1"/>
    <xf numFmtId="49" fontId="3" fillId="2" borderId="1" xfId="0" applyNumberFormat="1" applyFont="1" applyFill="1" applyBorder="1"/>
    <xf numFmtId="49" fontId="0" fillId="2" borderId="1" xfId="0" applyNumberFormat="1" applyFill="1" applyBorder="1"/>
    <xf numFmtId="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43" fontId="1" fillId="2" borderId="1" xfId="1" applyFill="1" applyBorder="1"/>
    <xf numFmtId="0" fontId="4" fillId="2" borderId="1" xfId="0" applyFont="1" applyFill="1" applyBorder="1"/>
    <xf numFmtId="21" fontId="0" fillId="2" borderId="1" xfId="0" applyNumberFormat="1" applyFill="1" applyBorder="1"/>
    <xf numFmtId="20" fontId="0" fillId="2" borderId="1" xfId="0" applyNumberFormat="1" applyFill="1" applyBorder="1"/>
    <xf numFmtId="4" fontId="0" fillId="2" borderId="1" xfId="0" applyNumberFormat="1" applyFill="1" applyBorder="1" applyAlignment="1">
      <alignment horizontal="right"/>
    </xf>
    <xf numFmtId="0" fontId="0" fillId="2" borderId="0" xfId="0" applyFill="1"/>
    <xf numFmtId="164" fontId="0" fillId="2" borderId="0" xfId="1" applyNumberFormat="1" applyFont="1" applyFill="1"/>
    <xf numFmtId="164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left"/>
    </xf>
    <xf numFmtId="2" fontId="9" fillId="2" borderId="1" xfId="0" applyNumberFormat="1" applyFont="1" applyFill="1" applyBorder="1"/>
    <xf numFmtId="0" fontId="8" fillId="4" borderId="1" xfId="0" applyFont="1" applyFill="1" applyBorder="1" applyAlignment="1">
      <alignment horizontal="left"/>
    </xf>
    <xf numFmtId="2" fontId="8" fillId="4" borderId="1" xfId="0" applyNumberFormat="1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0" fillId="2" borderId="6" xfId="0" applyFill="1" applyBorder="1"/>
    <xf numFmtId="0" fontId="0" fillId="2" borderId="2" xfId="0" applyFill="1" applyBorder="1"/>
    <xf numFmtId="164" fontId="0" fillId="2" borderId="2" xfId="0" applyNumberFormat="1" applyFill="1" applyBorder="1"/>
    <xf numFmtId="20" fontId="3" fillId="2" borderId="2" xfId="0" applyNumberFormat="1" applyFont="1" applyFill="1" applyBorder="1"/>
    <xf numFmtId="14" fontId="0" fillId="2" borderId="2" xfId="0" applyNumberFormat="1" applyFill="1" applyBorder="1"/>
    <xf numFmtId="4" fontId="0" fillId="2" borderId="2" xfId="0" applyNumberFormat="1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/>
    <xf numFmtId="0" fontId="8" fillId="5" borderId="1" xfId="0" applyFont="1" applyFill="1" applyBorder="1" applyAlignment="1">
      <alignment wrapText="1"/>
    </xf>
    <xf numFmtId="0" fontId="2" fillId="6" borderId="8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49" fontId="2" fillId="6" borderId="3" xfId="0" applyNumberFormat="1" applyFont="1" applyFill="1" applyBorder="1" applyAlignment="1">
      <alignment horizontal="center" wrapText="1"/>
    </xf>
    <xf numFmtId="0" fontId="0" fillId="6" borderId="0" xfId="0" applyFill="1"/>
    <xf numFmtId="0" fontId="12" fillId="2" borderId="7" xfId="2" applyFont="1" applyFill="1" applyBorder="1" applyAlignment="1">
      <alignment horizontal="right"/>
    </xf>
    <xf numFmtId="0" fontId="6" fillId="2" borderId="7" xfId="2" applyFont="1" applyFill="1" applyBorder="1" applyAlignment="1">
      <alignment horizontal="right"/>
    </xf>
    <xf numFmtId="0" fontId="7" fillId="2" borderId="7" xfId="2" applyFont="1" applyFill="1" applyBorder="1"/>
    <xf numFmtId="0" fontId="12" fillId="2" borderId="1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0" fontId="7" fillId="2" borderId="1" xfId="2" applyFont="1" applyFill="1" applyBorder="1"/>
    <xf numFmtId="0" fontId="10" fillId="2" borderId="1" xfId="2" applyFont="1" applyFill="1" applyBorder="1" applyAlignment="1">
      <alignment horizontal="right"/>
    </xf>
    <xf numFmtId="164" fontId="12" fillId="2" borderId="1" xfId="2" applyNumberFormat="1" applyFont="1" applyFill="1" applyBorder="1" applyAlignment="1">
      <alignment horizontal="right"/>
    </xf>
    <xf numFmtId="164" fontId="6" fillId="2" borderId="1" xfId="2" applyNumberFormat="1" applyFont="1" applyFill="1" applyBorder="1" applyAlignment="1">
      <alignment horizontal="right"/>
    </xf>
    <xf numFmtId="164" fontId="7" fillId="2" borderId="1" xfId="2" applyNumberFormat="1" applyFont="1" applyFill="1" applyBorder="1"/>
    <xf numFmtId="20" fontId="3" fillId="2" borderId="1" xfId="2" applyNumberFormat="1" applyFont="1" applyFill="1" applyBorder="1" applyAlignment="1">
      <alignment horizontal="right"/>
    </xf>
    <xf numFmtId="20" fontId="3" fillId="2" borderId="1" xfId="2" applyNumberFormat="1" applyFont="1" applyFill="1" applyBorder="1"/>
    <xf numFmtId="14" fontId="12" fillId="2" borderId="1" xfId="2" applyNumberFormat="1" applyFont="1" applyFill="1" applyBorder="1" applyAlignment="1">
      <alignment horizontal="right"/>
    </xf>
    <xf numFmtId="14" fontId="6" fillId="2" borderId="1" xfId="2" applyNumberFormat="1" applyFont="1" applyFill="1" applyBorder="1" applyAlignment="1">
      <alignment horizontal="right"/>
    </xf>
    <xf numFmtId="14" fontId="7" fillId="2" borderId="1" xfId="2" applyNumberFormat="1" applyFont="1" applyFill="1" applyBorder="1"/>
    <xf numFmtId="4" fontId="12" fillId="2" borderId="1" xfId="2" applyNumberFormat="1" applyFont="1" applyFill="1" applyBorder="1" applyAlignment="1">
      <alignment horizontal="right"/>
    </xf>
    <xf numFmtId="4" fontId="6" fillId="2" borderId="1" xfId="2" applyNumberFormat="1" applyFont="1" applyFill="1" applyBorder="1" applyAlignment="1">
      <alignment horizontal="right"/>
    </xf>
    <xf numFmtId="4" fontId="7" fillId="2" borderId="1" xfId="2" applyNumberFormat="1" applyFont="1" applyFill="1" applyBorder="1" applyAlignment="1">
      <alignment horizontal="right"/>
    </xf>
    <xf numFmtId="0" fontId="7" fillId="2" borderId="6" xfId="2" applyFont="1" applyFill="1" applyBorder="1"/>
    <xf numFmtId="0" fontId="0" fillId="3" borderId="0" xfId="0" applyFill="1"/>
    <xf numFmtId="2" fontId="0" fillId="2" borderId="1" xfId="1" applyNumberFormat="1" applyFont="1" applyFill="1" applyBorder="1"/>
    <xf numFmtId="0" fontId="2" fillId="6" borderId="4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12" fillId="2" borderId="5" xfId="2" applyFont="1" applyFill="1" applyBorder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7" fillId="2" borderId="5" xfId="2" applyFont="1" applyFill="1" applyBorder="1" applyAlignment="1">
      <alignment horizontal="center"/>
    </xf>
    <xf numFmtId="0" fontId="0" fillId="2" borderId="9" xfId="0" applyFill="1" applyBorder="1"/>
    <xf numFmtId="0" fontId="14" fillId="4" borderId="3" xfId="0" applyFont="1" applyFill="1" applyBorder="1" applyAlignment="1">
      <alignment horizontal="center" wrapText="1"/>
    </xf>
    <xf numFmtId="2" fontId="13" fillId="2" borderId="3" xfId="0" applyNumberFormat="1" applyFont="1" applyFill="1" applyBorder="1"/>
    <xf numFmtId="2" fontId="13" fillId="2" borderId="1" xfId="0" applyNumberFormat="1" applyFont="1" applyFill="1" applyBorder="1"/>
    <xf numFmtId="0" fontId="13" fillId="2" borderId="0" xfId="0" applyFont="1" applyFill="1"/>
    <xf numFmtId="0" fontId="8" fillId="5" borderId="1" xfId="0" applyFont="1" applyFill="1" applyBorder="1" applyAlignment="1">
      <alignment horizontal="center" wrapText="1"/>
    </xf>
    <xf numFmtId="0" fontId="0" fillId="7" borderId="1" xfId="0" applyFill="1" applyBorder="1"/>
    <xf numFmtId="0" fontId="0" fillId="7" borderId="2" xfId="0" applyFill="1" applyBorder="1"/>
    <xf numFmtId="0" fontId="12" fillId="7" borderId="1" xfId="2" applyFont="1" applyFill="1" applyBorder="1" applyAlignment="1">
      <alignment horizontal="right"/>
    </xf>
    <xf numFmtId="0" fontId="6" fillId="7" borderId="1" xfId="2" applyFont="1" applyFill="1" applyBorder="1" applyAlignment="1">
      <alignment horizontal="right"/>
    </xf>
    <xf numFmtId="0" fontId="7" fillId="7" borderId="1" xfId="2" applyFont="1" applyFill="1" applyBorder="1"/>
    <xf numFmtId="0" fontId="7" fillId="7" borderId="6" xfId="2" applyFont="1" applyFill="1" applyBorder="1"/>
    <xf numFmtId="0" fontId="13" fillId="2" borderId="1" xfId="0" applyFont="1" applyFill="1" applyBorder="1"/>
    <xf numFmtId="0" fontId="3" fillId="3" borderId="1" xfId="0" applyFont="1" applyFill="1" applyBorder="1"/>
    <xf numFmtId="165" fontId="0" fillId="7" borderId="1" xfId="0" applyNumberFormat="1" applyFill="1" applyBorder="1"/>
    <xf numFmtId="166" fontId="0" fillId="2" borderId="1" xfId="0" applyNumberFormat="1" applyFill="1" applyBorder="1" applyAlignment="1">
      <alignment horizontal="center"/>
    </xf>
    <xf numFmtId="165" fontId="0" fillId="7" borderId="2" xfId="0" applyNumberFormat="1" applyFill="1" applyBorder="1"/>
    <xf numFmtId="166" fontId="0" fillId="2" borderId="2" xfId="0" applyNumberFormat="1" applyFill="1" applyBorder="1" applyAlignment="1">
      <alignment horizontal="center"/>
    </xf>
    <xf numFmtId="2" fontId="13" fillId="2" borderId="2" xfId="0" applyNumberFormat="1" applyFont="1" applyFill="1" applyBorder="1"/>
    <xf numFmtId="167" fontId="0" fillId="7" borderId="2" xfId="1" applyNumberFormat="1" applyFont="1" applyFill="1" applyBorder="1"/>
    <xf numFmtId="167" fontId="0" fillId="7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left" indent="1"/>
    </xf>
    <xf numFmtId="2" fontId="9" fillId="2" borderId="1" xfId="0" applyNumberFormat="1" applyFont="1" applyFill="1" applyBorder="1" applyAlignment="1">
      <alignment horizontal="center"/>
    </xf>
    <xf numFmtId="169" fontId="9" fillId="2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/>
    <xf numFmtId="168" fontId="3" fillId="2" borderId="1" xfId="0" applyNumberFormat="1" applyFont="1" applyFill="1" applyBorder="1" applyAlignment="1">
      <alignment horizontal="center"/>
    </xf>
    <xf numFmtId="170" fontId="0" fillId="2" borderId="1" xfId="0" applyNumberFormat="1" applyFill="1" applyBorder="1" applyAlignment="1">
      <alignment horizontal="center"/>
    </xf>
    <xf numFmtId="170" fontId="3" fillId="2" borderId="1" xfId="0" applyNumberFormat="1" applyFont="1" applyFill="1" applyBorder="1" applyAlignment="1">
      <alignment horizontal="center"/>
    </xf>
    <xf numFmtId="0" fontId="3" fillId="2" borderId="6" xfId="0" applyFont="1" applyFill="1" applyBorder="1"/>
    <xf numFmtId="0" fontId="3" fillId="2" borderId="2" xfId="0" applyFont="1" applyFill="1" applyBorder="1"/>
    <xf numFmtId="165" fontId="3" fillId="7" borderId="2" xfId="0" applyNumberFormat="1" applyFont="1" applyFill="1" applyBorder="1"/>
    <xf numFmtId="164" fontId="3" fillId="2" borderId="2" xfId="0" applyNumberFormat="1" applyFont="1" applyFill="1" applyBorder="1"/>
    <xf numFmtId="14" fontId="3" fillId="2" borderId="2" xfId="0" applyNumberFormat="1" applyFont="1" applyFill="1" applyBorder="1"/>
    <xf numFmtId="4" fontId="3" fillId="2" borderId="2" xfId="0" applyNumberFormat="1" applyFont="1" applyFill="1" applyBorder="1" applyAlignment="1">
      <alignment horizontal="right"/>
    </xf>
    <xf numFmtId="170" fontId="3" fillId="2" borderId="2" xfId="0" applyNumberFormat="1" applyFont="1" applyFill="1" applyBorder="1" applyAlignment="1">
      <alignment horizontal="center"/>
    </xf>
    <xf numFmtId="0" fontId="13" fillId="2" borderId="2" xfId="0" applyFont="1" applyFill="1" applyBorder="1"/>
    <xf numFmtId="168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left" indent="2"/>
    </xf>
    <xf numFmtId="169" fontId="8" fillId="5" borderId="1" xfId="0" applyNumberFormat="1" applyFont="1" applyFill="1" applyBorder="1" applyAlignment="1">
      <alignment horizontal="center"/>
    </xf>
    <xf numFmtId="0" fontId="0" fillId="3" borderId="1" xfId="0" applyFill="1" applyBorder="1"/>
    <xf numFmtId="165" fontId="3" fillId="2" borderId="1" xfId="0" applyNumberFormat="1" applyFont="1" applyFill="1" applyBorder="1"/>
  </cellXfs>
  <cellStyles count="5">
    <cellStyle name="Millares" xfId="1" builtinId="3"/>
    <cellStyle name="Millares 2" xfId="4" xr:uid="{97B147D6-9132-40FD-A0BD-4AF70D845D76}"/>
    <cellStyle name="Millares 3" xfId="3" xr:uid="{456F4B08-A604-42BB-BCD8-85791EF2401B}"/>
    <cellStyle name="Normal" xfId="0" builtinId="0"/>
    <cellStyle name="Normal 2" xfId="2" xr:uid="{EBED924C-90D1-4273-99F9-08E79C069C19}"/>
  </cellStyles>
  <dxfs count="218"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/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5" formatCode="h:mm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bgColor rgb="FF002060"/>
        </patternFill>
      </fill>
    </dxf>
    <dxf>
      <font>
        <color theme="0"/>
      </font>
      <fill>
        <patternFill>
          <fgColor rgb="FF002060"/>
        </patternFill>
      </fill>
      <alignment wrapText="1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0"/>
      </font>
    </dxf>
    <dxf>
      <fill>
        <patternFill>
          <bgColor rgb="FF002060"/>
        </patternFill>
      </fill>
    </dxf>
    <dxf>
      <alignment wrapText="1"/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ill>
        <patternFill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9" formatCode="0.000"/>
    </dxf>
    <dxf>
      <alignment horizontal="center"/>
    </dxf>
    <dxf>
      <font>
        <color theme="0"/>
      </font>
      <numFmt numFmtId="0" formatCode="General"/>
      <fill>
        <patternFill>
          <fgColor rgb="FF002060"/>
        </patternFill>
      </fill>
      <alignment horizontal="left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  <alignment horizontal="center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alignment horizontal="center"/>
    </dxf>
    <dxf>
      <numFmt numFmtId="2" formatCode="0.00"/>
    </dxf>
    <dxf>
      <font>
        <color theme="0"/>
      </font>
      <fill>
        <patternFill>
          <fgColor rgb="FF002060"/>
          <bgColor rgb="FF002060"/>
        </patternFill>
      </fill>
      <alignment wrapText="1"/>
    </dxf>
    <dxf>
      <fill>
        <patternFill>
          <bgColor rgb="FF002060"/>
        </patternFill>
      </fill>
    </dxf>
    <dxf>
      <font>
        <color theme="0"/>
      </font>
      <fill>
        <patternFill>
          <fgColor rgb="FF002060"/>
        </patternFill>
      </fill>
      <alignment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wrapText="1"/>
    </dxf>
    <dxf>
      <alignment wrapText="1"/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>
          <fgColor rgb="FF002060"/>
          <bgColor rgb="FF002060"/>
        </patternFill>
      </fill>
      <alignment wrapText="1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fgColor rgb="FF002060"/>
        </patternFill>
      </fill>
      <alignment wrapText="1"/>
    </dxf>
    <dxf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wrapText="1"/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ill>
        <patternFill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5" formatCode="h:mm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9.xml"/><Relationship Id="rId10" Type="http://schemas.microsoft.com/office/2007/relationships/slicerCache" Target="slicerCaches/slicerCache4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07/relationships/slicerCache" Target="slicerCaches/slicerCach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[Baseconsumoenergetico2025_001_MARZ.xlsx] Demanda Kw!TablaDinámica9</c:name>
    <c:fmtId val="5"/>
  </c:pivotSource>
  <c:chart>
    <c:title>
      <c:tx>
        <c:rich>
          <a:bodyPr rot="0" vert="horz"/>
          <a:lstStyle/>
          <a:p>
            <a:pPr>
              <a:defRPr/>
            </a:pPr>
            <a:r>
              <a:rPr lang="es-EC"/>
              <a:t>Demanda Mensual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pPr>
            <a:solidFill>
              <a:srgbClr val="FF0000"/>
            </a:solidFill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pPr>
            <a:solidFill>
              <a:srgbClr val="FF0000"/>
            </a:solidFill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 Demanda Kw'!$B$6</c:f>
              <c:strCache>
                <c:ptCount val="1"/>
                <c:pt idx="0">
                  <c:v>08H00 A 18H00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Demanda Kw'!$A$7:$A$11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 Demanda Kw'!$B$7:$B$11</c:f>
              <c:numCache>
                <c:formatCode>0.00</c:formatCode>
                <c:ptCount val="2"/>
                <c:pt idx="0">
                  <c:v>549.15</c:v>
                </c:pt>
                <c:pt idx="1">
                  <c:v>539.35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6-4665-BB02-720CFDC3115B}"/>
            </c:ext>
          </c:extLst>
        </c:ser>
        <c:ser>
          <c:idx val="1"/>
          <c:order val="1"/>
          <c:tx>
            <c:strRef>
              <c:f>' Demanda Kw'!$C$6</c:f>
              <c:strCache>
                <c:ptCount val="1"/>
                <c:pt idx="0">
                  <c:v>18H00 A 22H00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Demanda Kw'!$A$7:$A$11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 Demanda Kw'!$C$7:$C$11</c:f>
              <c:numCache>
                <c:formatCode>0.00</c:formatCode>
                <c:ptCount val="2"/>
                <c:pt idx="0">
                  <c:v>542.85</c:v>
                </c:pt>
                <c:pt idx="1">
                  <c:v>530.25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6-4665-BB02-720CFDC3115B}"/>
            </c:ext>
          </c:extLst>
        </c:ser>
        <c:ser>
          <c:idx val="2"/>
          <c:order val="2"/>
          <c:tx>
            <c:strRef>
              <c:f>' Demanda Kw'!$D$6</c:f>
              <c:strCache>
                <c:ptCount val="1"/>
                <c:pt idx="0">
                  <c:v>22H00 A 08H00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Demanda Kw'!$A$7:$A$11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 Demanda Kw'!$D$7:$D$11</c:f>
              <c:numCache>
                <c:formatCode>0.00</c:formatCode>
                <c:ptCount val="2"/>
                <c:pt idx="0">
                  <c:v>565.25</c:v>
                </c:pt>
                <c:pt idx="1">
                  <c:v>528.15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6-4665-BB02-720CFDC3115B}"/>
            </c:ext>
          </c:extLst>
        </c:ser>
        <c:ser>
          <c:idx val="3"/>
          <c:order val="3"/>
          <c:tx>
            <c:strRef>
              <c:f>' Demanda Kw'!$E$6</c:f>
              <c:strCache>
                <c:ptCount val="1"/>
                <c:pt idx="0">
                  <c:v>S,D,F 18H00 A 22H00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Demanda Kw'!$A$7:$A$11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 Demanda Kw'!$E$7:$E$11</c:f>
              <c:numCache>
                <c:formatCode>0.00</c:formatCode>
                <c:ptCount val="2"/>
                <c:pt idx="0">
                  <c:v>526.04999999999995</c:v>
                </c:pt>
                <c:pt idx="1">
                  <c:v>537.94999999999993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6-4665-BB02-720CFDC3115B}"/>
            </c:ext>
          </c:extLst>
        </c:ser>
        <c:ser>
          <c:idx val="4"/>
          <c:order val="4"/>
          <c:tx>
            <c:strRef>
              <c:f>' Demanda Kw'!$F$6</c:f>
              <c:strCache>
                <c:ptCount val="1"/>
                <c:pt idx="0">
                  <c:v>Promedio de kreal fact max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 Demanda Kw'!$A$7:$A$11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 Demanda Kw'!$F$7:$F$11</c:f>
              <c:numCache>
                <c:formatCode>0.00</c:formatCode>
                <c:ptCount val="2"/>
                <c:pt idx="0">
                  <c:v>565.25</c:v>
                </c:pt>
                <c:pt idx="1">
                  <c:v>539.35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4E-457D-BB47-4658C3A26D5C}"/>
            </c:ext>
          </c:extLst>
        </c:ser>
        <c:ser>
          <c:idx val="5"/>
          <c:order val="5"/>
          <c:tx>
            <c:strRef>
              <c:f>' Demanda Kw'!$G$6</c:f>
              <c:strCache>
                <c:ptCount val="1"/>
                <c:pt idx="0">
                  <c:v>Promedio de LineaBase-FD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 Demanda Kw'!$A$7:$A$11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 Demanda Kw'!$G$7:$G$11</c:f>
              <c:numCache>
                <c:formatCode>0.00</c:formatCode>
                <c:ptCount val="2"/>
                <c:pt idx="0">
                  <c:v>546</c:v>
                </c:pt>
                <c:pt idx="1">
                  <c:v>534.09999999999991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2-4B8A-9125-6D9A147826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1802575"/>
        <c:axId val="2031802079"/>
      </c:lineChart>
      <c:catAx>
        <c:axId val="20318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2031802079"/>
        <c:crosses val="autoZero"/>
        <c:auto val="1"/>
        <c:lblAlgn val="ctr"/>
        <c:lblOffset val="100"/>
        <c:noMultiLvlLbl val="0"/>
      </c:catAx>
      <c:valAx>
        <c:axId val="203180207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3180257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s-EC"/>
        </a:p>
      </c:txPr>
    </c:legend>
    <c:plotVisOnly val="1"/>
    <c:dispBlanksAs val="zero"/>
    <c:showDLblsOverMax val="0"/>
    <c:extLst/>
  </c:chart>
  <c:spPr>
    <a:noFill/>
    <a:ln>
      <a:solidFill>
        <a:schemeClr val="bg1"/>
      </a:solidFill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[Baseconsumoenergetico2025_001_MARZ.xlsx]Factor Demanda!TablaDinámica9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Factor de Demanda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6350" cap="flat" cmpd="sng" algn="ctr">
              <a:solidFill>
                <a:schemeClr val="accent2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6350" cap="flat" cmpd="sng" algn="ctr">
              <a:solidFill>
                <a:schemeClr val="accent3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6350" cap="flat" cmpd="sng" algn="ctr">
              <a:solidFill>
                <a:schemeClr val="accent4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pPr>
            <a:solidFill>
              <a:srgbClr val="FF0000"/>
            </a:solidFill>
            <a:ln w="6350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pPr>
            <a:solidFill>
              <a:schemeClr val="accent6"/>
            </a:solidFill>
            <a:ln w="6350" cap="flat" cmpd="sng" algn="ctr">
              <a:solidFill>
                <a:schemeClr val="accent6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'Factor Demanda'!$B$5</c:f>
              <c:strCache>
                <c:ptCount val="1"/>
                <c:pt idx="0">
                  <c:v>08H00 A 18H00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'Factor Demanda'!$A$6:$A$10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'Factor Demanda'!$B$6:$B$10</c:f>
              <c:numCache>
                <c:formatCode>0.000</c:formatCode>
                <c:ptCount val="2"/>
                <c:pt idx="0">
                  <c:v>1.569</c:v>
                </c:pt>
                <c:pt idx="1">
                  <c:v>1.5409999999999999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A10-408A-9E4E-9F37A0E86AC8}"/>
            </c:ext>
          </c:extLst>
        </c:ser>
        <c:ser>
          <c:idx val="1"/>
          <c:order val="1"/>
          <c:tx>
            <c:strRef>
              <c:f>'Factor Demanda'!$C$5</c:f>
              <c:strCache>
                <c:ptCount val="1"/>
                <c:pt idx="0">
                  <c:v>18H00 A 22H00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'Factor Demanda'!$A$6:$A$10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'Factor Demanda'!$C$6:$C$10</c:f>
              <c:numCache>
                <c:formatCode>0.000</c:formatCode>
                <c:ptCount val="2"/>
                <c:pt idx="0">
                  <c:v>1.5509999999999999</c:v>
                </c:pt>
                <c:pt idx="1">
                  <c:v>1.5149999999999999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A10-408A-9E4E-9F37A0E86AC8}"/>
            </c:ext>
          </c:extLst>
        </c:ser>
        <c:ser>
          <c:idx val="2"/>
          <c:order val="2"/>
          <c:tx>
            <c:strRef>
              <c:f>'Factor Demanda'!$D$5</c:f>
              <c:strCache>
                <c:ptCount val="1"/>
                <c:pt idx="0">
                  <c:v>22H00 A 08H00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'Factor Demanda'!$A$6:$A$10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'Factor Demanda'!$D$6:$D$10</c:f>
              <c:numCache>
                <c:formatCode>0.000</c:formatCode>
                <c:ptCount val="2"/>
                <c:pt idx="0">
                  <c:v>1.615</c:v>
                </c:pt>
                <c:pt idx="1">
                  <c:v>1.5089999999999999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A10-408A-9E4E-9F37A0E86AC8}"/>
            </c:ext>
          </c:extLst>
        </c:ser>
        <c:ser>
          <c:idx val="3"/>
          <c:order val="3"/>
          <c:tx>
            <c:strRef>
              <c:f>'Factor Demanda'!$E$5</c:f>
              <c:strCache>
                <c:ptCount val="1"/>
                <c:pt idx="0">
                  <c:v>S,D,F 18H00 A 22H00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'Factor Demanda'!$A$6:$A$10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'Factor Demanda'!$E$6:$E$10</c:f>
              <c:numCache>
                <c:formatCode>0.000</c:formatCode>
                <c:ptCount val="2"/>
                <c:pt idx="0">
                  <c:v>1.5029999999999999</c:v>
                </c:pt>
                <c:pt idx="1">
                  <c:v>1.5369999999999999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A10-408A-9E4E-9F37A0E86AC8}"/>
            </c:ext>
          </c:extLst>
        </c:ser>
        <c:ser>
          <c:idx val="4"/>
          <c:order val="4"/>
          <c:tx>
            <c:strRef>
              <c:f>'Factor Demanda'!$F$5</c:f>
              <c:strCache>
                <c:ptCount val="1"/>
                <c:pt idx="0">
                  <c:v>Promedio de Max Factor Medido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pPr>
              <a:solidFill>
                <a:srgbClr val="FF0000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'Factor Demanda'!$A$6:$A$10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'Factor Demanda'!$F$6:$F$10</c:f>
              <c:numCache>
                <c:formatCode>0.000</c:formatCode>
                <c:ptCount val="2"/>
                <c:pt idx="0">
                  <c:v>1.615</c:v>
                </c:pt>
                <c:pt idx="1">
                  <c:v>1.5409999999999997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C-4EA7-8F88-B858D451C9E5}"/>
            </c:ext>
          </c:extLst>
        </c:ser>
        <c:ser>
          <c:idx val="5"/>
          <c:order val="5"/>
          <c:tx>
            <c:strRef>
              <c:f>'Factor Demanda'!$G$5</c:f>
              <c:strCache>
                <c:ptCount val="1"/>
                <c:pt idx="0">
                  <c:v>Promedio de FactorDemanda-Base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'Factor Demanda'!$A$6:$A$10</c:f>
              <c:multiLvlStrCache>
                <c:ptCount val="2"/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'Factor Demanda'!$G$6:$G$10</c:f>
              <c:numCache>
                <c:formatCode>0.000</c:formatCode>
                <c:ptCount val="2"/>
                <c:pt idx="0">
                  <c:v>1.5600000000000003</c:v>
                </c:pt>
                <c:pt idx="1">
                  <c:v>1.5259999999999998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2-488C-85AD-80697A47A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1802575"/>
        <c:axId val="2031802079"/>
      </c:lineChart>
      <c:catAx>
        <c:axId val="20318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31802079"/>
        <c:crosses val="autoZero"/>
        <c:auto val="1"/>
        <c:lblAlgn val="ctr"/>
        <c:lblOffset val="100"/>
        <c:noMultiLvlLbl val="0"/>
      </c:catAx>
      <c:valAx>
        <c:axId val="2031802079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2031802575"/>
        <c:crosses val="autoZero"/>
        <c:crossBetween val="between"/>
      </c:valAx>
      <c:spPr>
        <a:solidFill>
          <a:schemeClr val="bg1"/>
        </a:solidFill>
        <a:ln cap="sq" cmpd="dbl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0"/>
    <c:extLst/>
  </c:chart>
  <c:spPr>
    <a:solidFill>
      <a:schemeClr val="bg1"/>
    </a:solidFill>
    <a:ln w="6350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[Baseconsumoenergetico2025_001_MARZ.xlsx]FactorPotencia!TablaDinámica9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Factor de Potencia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FactorPotencia!$B$6</c:f>
              <c:strCache>
                <c:ptCount val="1"/>
                <c:pt idx="0">
                  <c:v>Promedio de Fpbase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FactorPotencia!$A$7:$A$13</c:f>
              <c:multiLvlStrCache>
                <c:ptCount val="2"/>
                <c:lvl>
                  <c:pt idx="0">
                    <c:v>13</c:v>
                  </c:pt>
                  <c:pt idx="1">
                    <c:v>13</c:v>
                  </c:pt>
                </c:lvl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FactorPotencia!$B$7:$B$13</c:f>
              <c:numCache>
                <c:formatCode>0.00</c:formatCode>
                <c:ptCount val="2"/>
                <c:pt idx="0">
                  <c:v>0.92</c:v>
                </c:pt>
                <c:pt idx="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076-45D7-92D1-B3E8C1445F59}"/>
            </c:ext>
          </c:extLst>
        </c:ser>
        <c:ser>
          <c:idx val="1"/>
          <c:order val="1"/>
          <c:tx>
            <c:strRef>
              <c:f>FactorPotencia!$C$6</c:f>
              <c:strCache>
                <c:ptCount val="1"/>
                <c:pt idx="0">
                  <c:v>Promedio de 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FactorPotencia!$A$7:$A$13</c:f>
              <c:multiLvlStrCache>
                <c:ptCount val="2"/>
                <c:lvl>
                  <c:pt idx="0">
                    <c:v>13</c:v>
                  </c:pt>
                  <c:pt idx="1">
                    <c:v>13</c:v>
                  </c:pt>
                </c:lvl>
                <c:lvl>
                  <c:pt idx="0">
                    <c:v>marzo</c:v>
                  </c:pt>
                  <c:pt idx="1">
                    <c:v>marzo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FactorPotencia!$C$7:$C$13</c:f>
              <c:numCache>
                <c:formatCode>0.00</c:formatCode>
                <c:ptCount val="2"/>
                <c:pt idx="0">
                  <c:v>0.92142857142857149</c:v>
                </c:pt>
                <c:pt idx="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076-45D7-92D1-B3E8C1445F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1802575"/>
        <c:axId val="2031802079"/>
      </c:lineChart>
      <c:catAx>
        <c:axId val="20318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31802079"/>
        <c:crosses val="autoZero"/>
        <c:auto val="1"/>
        <c:lblAlgn val="ctr"/>
        <c:lblOffset val="100"/>
        <c:noMultiLvlLbl val="0"/>
      </c:catAx>
      <c:valAx>
        <c:axId val="20318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3180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1103458</xdr:colOff>
      <xdr:row>0</xdr:row>
      <xdr:rowOff>9525</xdr:rowOff>
    </xdr:from>
    <xdr:to>
      <xdr:col>13</xdr:col>
      <xdr:colOff>571500</xdr:colOff>
      <xdr:row>20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99B206-B865-47B3-AC9D-CBDF5A8F7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2700</xdr:colOff>
      <xdr:row>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 1">
              <a:extLst>
                <a:ext uri="{FF2B5EF4-FFF2-40B4-BE49-F238E27FC236}">
                  <a16:creationId xmlns:a16="http://schemas.microsoft.com/office/drawing/2014/main" id="{694790C0-9BB7-B3D1-A065-0F54E6AEA7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2600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371473</xdr:colOff>
      <xdr:row>0</xdr:row>
      <xdr:rowOff>0</xdr:rowOff>
    </xdr:from>
    <xdr:to>
      <xdr:col>5</xdr:col>
      <xdr:colOff>578113</xdr:colOff>
      <xdr:row>4</xdr:row>
      <xdr:rowOff>138000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 1">
              <a:extLst>
                <a:ext uri="{FF2B5EF4-FFF2-40B4-BE49-F238E27FC236}">
                  <a16:creationId xmlns:a16="http://schemas.microsoft.com/office/drawing/2014/main" id="{7E5CD127-B216-2B6C-7FC3-680F83D25F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3" y="0"/>
              <a:ext cx="19440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390525</xdr:colOff>
      <xdr:row>0</xdr:row>
      <xdr:rowOff>9525</xdr:rowOff>
    </xdr:from>
    <xdr:to>
      <xdr:col>8</xdr:col>
      <xdr:colOff>11250</xdr:colOff>
      <xdr:row>4</xdr:row>
      <xdr:rowOff>142005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mana">
              <a:extLst>
                <a:ext uri="{FF2B5EF4-FFF2-40B4-BE49-F238E27FC236}">
                  <a16:creationId xmlns:a16="http://schemas.microsoft.com/office/drawing/2014/main" id="{564255DF-FED0-54B7-112A-44FD05097C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2285" y="9525"/>
              <a:ext cx="1906725" cy="8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1019175</xdr:colOff>
      <xdr:row>0</xdr:row>
      <xdr:rowOff>0</xdr:rowOff>
    </xdr:from>
    <xdr:to>
      <xdr:col>12</xdr:col>
      <xdr:colOff>365472</xdr:colOff>
      <xdr:row>18</xdr:row>
      <xdr:rowOff>73678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B49B9C-C741-9072-A866-0B94E2535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9526</xdr:colOff>
      <xdr:row>0</xdr:row>
      <xdr:rowOff>0</xdr:rowOff>
    </xdr:from>
    <xdr:to>
      <xdr:col>2</xdr:col>
      <xdr:colOff>20281</xdr:colOff>
      <xdr:row>3</xdr:row>
      <xdr:rowOff>256500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ÑO">
              <a:extLst>
                <a:ext uri="{FF2B5EF4-FFF2-40B4-BE49-F238E27FC236}">
                  <a16:creationId xmlns:a16="http://schemas.microsoft.com/office/drawing/2014/main" id="{AA191B84-E3B4-7196-3236-4FD11922A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6" y="0"/>
              <a:ext cx="999450" cy="8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390523</xdr:colOff>
      <xdr:row>0</xdr:row>
      <xdr:rowOff>38099</xdr:rowOff>
    </xdr:from>
    <xdr:to>
      <xdr:col>6</xdr:col>
      <xdr:colOff>262891</xdr:colOff>
      <xdr:row>3</xdr:row>
      <xdr:rowOff>257175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ES">
              <a:extLst>
                <a:ext uri="{FF2B5EF4-FFF2-40B4-BE49-F238E27FC236}">
                  <a16:creationId xmlns:a16="http://schemas.microsoft.com/office/drawing/2014/main" id="{5942140F-B858-978D-16B2-41F1B4406D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698" y="38099"/>
              <a:ext cx="1971678" cy="790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236220</xdr:colOff>
      <xdr:row>0</xdr:row>
      <xdr:rowOff>28575</xdr:rowOff>
    </xdr:from>
    <xdr:to>
      <xdr:col>7</xdr:col>
      <xdr:colOff>1213485</xdr:colOff>
      <xdr:row>3</xdr:row>
      <xdr:rowOff>249075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 1">
              <a:extLst>
                <a:ext uri="{FF2B5EF4-FFF2-40B4-BE49-F238E27FC236}">
                  <a16:creationId xmlns:a16="http://schemas.microsoft.com/office/drawing/2014/main" id="{84683529-8D2A-A9CD-CE6F-A017A88C79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7040" y="28575"/>
              <a:ext cx="1533525" cy="769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467188</xdr:colOff>
      <xdr:row>0</xdr:row>
      <xdr:rowOff>0</xdr:rowOff>
    </xdr:from>
    <xdr:to>
      <xdr:col>12</xdr:col>
      <xdr:colOff>565785</xdr:colOff>
      <xdr:row>20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8DA94A-C6DB-4EBB-B5FF-05502E5A4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272219</xdr:colOff>
      <xdr:row>4</xdr:row>
      <xdr:rowOff>131378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 2">
              <a:extLst>
                <a:ext uri="{FF2B5EF4-FFF2-40B4-BE49-F238E27FC236}">
                  <a16:creationId xmlns:a16="http://schemas.microsoft.com/office/drawing/2014/main" id="{61E18380-7491-4EDC-8C8E-9DAE512AE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2600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245751</xdr:colOff>
      <xdr:row>0</xdr:row>
      <xdr:rowOff>1400</xdr:rowOff>
    </xdr:from>
    <xdr:to>
      <xdr:col>2</xdr:col>
      <xdr:colOff>635678</xdr:colOff>
      <xdr:row>4</xdr:row>
      <xdr:rowOff>139400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 2">
              <a:extLst>
                <a:ext uri="{FF2B5EF4-FFF2-40B4-BE49-F238E27FC236}">
                  <a16:creationId xmlns:a16="http://schemas.microsoft.com/office/drawing/2014/main" id="{A4479C99-0EF5-4B6F-BFCB-161796FDAC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431" y="1400"/>
              <a:ext cx="1296707" cy="86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1771</xdr:colOff>
      <xdr:row>0</xdr:row>
      <xdr:rowOff>7884</xdr:rowOff>
    </xdr:from>
    <xdr:to>
      <xdr:col>6</xdr:col>
      <xdr:colOff>453079</xdr:colOff>
      <xdr:row>4</xdr:row>
      <xdr:rowOff>145884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mana 2">
              <a:extLst>
                <a:ext uri="{FF2B5EF4-FFF2-40B4-BE49-F238E27FC236}">
                  <a16:creationId xmlns:a16="http://schemas.microsoft.com/office/drawing/2014/main" id="{2C327FAD-2243-C704-5B69-1F88754F3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8271" y="7884"/>
              <a:ext cx="1906728" cy="86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rgio Marcelo Chavez Gonzalez" id="{D2952B5A-2B83-4AD8-8762-DCB119BB4AC3}" userId="S::smchavez@espol.edu.ec::4bb487a1-8027-41ca-b3ab-aad2270f5d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Chavez" refreshedDate="46107.592326620368" createdVersion="8" refreshedVersion="8" minRefreshableVersion="3" recordCount="446" xr:uid="{60EB642D-598E-4C05-AD14-8ADBFD1E635A}">
  <cacheSource type="worksheet">
    <worksheetSource ref="A1:Z447" sheet="BASE REFRISTORE"/>
  </cacheSource>
  <cacheFields count="26">
    <cacheField name="1 KWH" numFmtId="0">
      <sharedItems containsSemiMixedTypes="0" containsString="0" containsNumber="1" containsInteger="1" minValue="24" maxValue="69922"/>
    </cacheField>
    <cacheField name="2KWH" numFmtId="0">
      <sharedItems containsSemiMixedTypes="0" containsString="0" containsNumber="1" containsInteger="1" minValue="0" maxValue="25414"/>
    </cacheField>
    <cacheField name="3KWH" numFmtId="0">
      <sharedItems containsSemiMixedTypes="0" containsString="0" containsNumber="1" containsInteger="1" minValue="0" maxValue="8413"/>
    </cacheField>
    <cacheField name="4KWH" numFmtId="0">
      <sharedItems containsSemiMixedTypes="0" containsString="0" containsNumber="1" containsInteger="1" minValue="19" maxValue="30792"/>
    </cacheField>
    <cacheField name="5KWH" numFmtId="0">
      <sharedItems containsSemiMixedTypes="0" containsString="0" containsNumber="1" containsInteger="1" minValue="4" maxValue="2982"/>
    </cacheField>
    <cacheField name="6KWA" numFmtId="0">
      <sharedItems containsSemiMixedTypes="0" containsString="0" containsNumber="1" minValue="0" maxValue="1.6830000000000001"/>
    </cacheField>
    <cacheField name="7KWA" numFmtId="0">
      <sharedItems containsSemiMixedTypes="0" containsString="0" containsNumber="1" minValue="0" maxValue="1.5980000000000001"/>
    </cacheField>
    <cacheField name="8KWA" numFmtId="0">
      <sharedItems containsSemiMixedTypes="0" containsString="0" containsNumber="1" minValue="1.2050000000000001" maxValue="1.615"/>
    </cacheField>
    <cacheField name="9KWA" numFmtId="0">
      <sharedItems containsSemiMixedTypes="0" containsString="0" containsNumber="1" minValue="0" maxValue="1.61"/>
    </cacheField>
    <cacheField name="10 KVARH" numFmtId="0">
      <sharedItems containsSemiMixedTypes="0" containsString="0" containsNumber="1" minValue="2.2418999999999998" maxValue="225339"/>
    </cacheField>
    <cacheField name="15 HORA" numFmtId="0">
      <sharedItems containsDate="1" containsMixedTypes="1" minDate="1899-12-30T00:00:00" maxDate="1899-12-30T00:00:00"/>
    </cacheField>
    <cacheField name="fecha" numFmtId="14">
      <sharedItems containsDate="1" containsMixedTypes="1" minDate="2025-01-01T00:00:00" maxDate="2026-03-25T00:00:00"/>
    </cacheField>
    <cacheField name="fp" numFmtId="0">
      <sharedItems containsSemiMixedTypes="0" containsString="0" containsNumber="1" minValue="0.64" maxValue="1"/>
    </cacheField>
    <cacheField name="Factor Demanda" numFmtId="0">
      <sharedItems containsSemiMixedTypes="0" containsString="0" containsNumber="1" minValue="0" maxValue="11.26"/>
    </cacheField>
    <cacheField name="Max Factor Medido" numFmtId="0">
      <sharedItems containsSemiMixedTypes="0" containsString="0" containsNumber="1" minValue="1.2050000000000001" maxValue="1.6830000000000001"/>
    </cacheField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mana" numFmtId="0">
      <sharedItems containsSemiMixedTypes="0" containsString="0" containsNumber="1" containsInteger="1" minValue="1" maxValue="53" count="49">
        <n v="1"/>
        <n v="2"/>
        <n v="3"/>
        <n v="4"/>
        <n v="5"/>
        <n v="6"/>
        <n v="10"/>
        <n v="14"/>
        <n v="18"/>
        <n v="23"/>
        <n v="27"/>
        <n v="31"/>
        <n v="36"/>
        <n v="40"/>
        <n v="45"/>
        <n v="49"/>
        <n v="7"/>
        <n v="8"/>
        <n v="9"/>
        <n v="32"/>
        <n v="11"/>
        <n v="12"/>
        <n v="13"/>
        <n v="19"/>
        <n v="16"/>
        <n v="17"/>
        <n v="20"/>
        <n v="21"/>
        <n v="22"/>
        <n v="28"/>
        <n v="29"/>
        <n v="30"/>
        <n v="33"/>
        <n v="34"/>
        <n v="35"/>
        <n v="37"/>
        <n v="38"/>
        <n v="39"/>
        <n v="41"/>
        <n v="42"/>
        <n v="43"/>
        <n v="44"/>
        <n v="46"/>
        <n v="50"/>
        <n v="47"/>
        <n v="48"/>
        <n v="51"/>
        <n v="52"/>
        <n v="53"/>
      </sharedItems>
    </cacheField>
    <cacheField name="MES EN-DC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kwreal 6" numFmtId="2">
      <sharedItems containsSemiMixedTypes="0" containsString="0" containsNumber="1" minValue="0" maxValue="589.05000000000007"/>
    </cacheField>
    <cacheField name="kwreal 7" numFmtId="2">
      <sharedItems containsSemiMixedTypes="0" containsString="0" containsNumber="1" minValue="0" maxValue="559.30000000000007"/>
    </cacheField>
    <cacheField name="kwreal 8" numFmtId="2">
      <sharedItems containsSemiMixedTypes="0" containsString="0" containsNumber="1" minValue="421.75" maxValue="565.25"/>
    </cacheField>
    <cacheField name="kwreal 9" numFmtId="2">
      <sharedItems containsSemiMixedTypes="0" containsString="0" containsNumber="1" minValue="0" maxValue="563.5"/>
    </cacheField>
    <cacheField name="kreal fact max" numFmtId="2">
      <sharedItems containsSemiMixedTypes="0" containsString="0" containsNumber="1" minValue="421.75" maxValue="589.05000000000007"/>
    </cacheField>
    <cacheField name="Fpbase" numFmtId="2">
      <sharedItems containsSemiMixedTypes="0" containsString="0" containsNumber="1" minValue="0.92" maxValue="0.94"/>
    </cacheField>
    <cacheField name="AÑO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 pivotCacheId="129415502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Chavez" refreshedDate="46107.592327430553" createdVersion="8" refreshedVersion="8" minRefreshableVersion="3" recordCount="446" xr:uid="{7F74FF48-8FBF-4E3F-A7EA-1843DC6431D0}">
  <cacheSource type="worksheet">
    <worksheetSource name="Tabla4"/>
  </cacheSource>
  <cacheFields count="28">
    <cacheField name="1 KWH" numFmtId="0">
      <sharedItems containsSemiMixedTypes="0" containsString="0" containsNumber="1" containsInteger="1" minValue="24" maxValue="69922"/>
    </cacheField>
    <cacheField name="2KWH" numFmtId="0">
      <sharedItems containsSemiMixedTypes="0" containsString="0" containsNumber="1" containsInteger="1" minValue="0" maxValue="25414"/>
    </cacheField>
    <cacheField name="3KWH" numFmtId="0">
      <sharedItems containsSemiMixedTypes="0" containsString="0" containsNumber="1" containsInteger="1" minValue="0" maxValue="8413"/>
    </cacheField>
    <cacheField name="4KWH" numFmtId="0">
      <sharedItems containsSemiMixedTypes="0" containsString="0" containsNumber="1" containsInteger="1" minValue="19" maxValue="30792"/>
    </cacheField>
    <cacheField name="5KWH" numFmtId="0">
      <sharedItems containsSemiMixedTypes="0" containsString="0" containsNumber="1" containsInteger="1" minValue="4" maxValue="2982"/>
    </cacheField>
    <cacheField name="6KWA" numFmtId="0">
      <sharedItems containsSemiMixedTypes="0" containsString="0" containsNumber="1" minValue="0" maxValue="1.6830000000000001"/>
    </cacheField>
    <cacheField name="7KWA" numFmtId="0">
      <sharedItems containsSemiMixedTypes="0" containsString="0" containsNumber="1" minValue="0" maxValue="1.5980000000000001"/>
    </cacheField>
    <cacheField name="8KWA" numFmtId="0">
      <sharedItems containsSemiMixedTypes="0" containsString="0" containsNumber="1" minValue="1.2050000000000001" maxValue="1.615"/>
    </cacheField>
    <cacheField name="9KWA" numFmtId="0">
      <sharedItems containsSemiMixedTypes="0" containsString="0" containsNumber="1" minValue="0" maxValue="1.61"/>
    </cacheField>
    <cacheField name="10 KVARH" numFmtId="0">
      <sharedItems containsSemiMixedTypes="0" containsString="0" containsNumber="1" minValue="2.2418999999999998" maxValue="225339"/>
    </cacheField>
    <cacheField name="15 HORA" numFmtId="0">
      <sharedItems containsDate="1" containsMixedTypes="1" minDate="1899-12-30T00:00:00" maxDate="1899-12-30T00:00:00"/>
    </cacheField>
    <cacheField name="fecha" numFmtId="14">
      <sharedItems containsDate="1" containsMixedTypes="1" minDate="2025-01-01T00:00:00" maxDate="2026-03-25T00:00:00"/>
    </cacheField>
    <cacheField name="fp" numFmtId="0">
      <sharedItems containsSemiMixedTypes="0" containsString="0" containsNumber="1" minValue="0.64" maxValue="1"/>
    </cacheField>
    <cacheField name="Factor Demanda" numFmtId="0">
      <sharedItems containsSemiMixedTypes="0" containsString="0" containsNumber="1" minValue="0" maxValue="11.26"/>
    </cacheField>
    <cacheField name="Max Factor Medido" numFmtId="0">
      <sharedItems containsSemiMixedTypes="0" containsString="0" containsNumber="1" minValue="1.2050000000000001" maxValue="1.6830000000000001"/>
    </cacheField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mana" numFmtId="0">
      <sharedItems containsSemiMixedTypes="0" containsString="0" containsNumber="1" containsInteger="1" minValue="1" maxValue="53" count="49">
        <n v="1"/>
        <n v="2"/>
        <n v="3"/>
        <n v="4"/>
        <n v="5"/>
        <n v="6"/>
        <n v="10"/>
        <n v="14"/>
        <n v="18"/>
        <n v="23"/>
        <n v="27"/>
        <n v="31"/>
        <n v="36"/>
        <n v="40"/>
        <n v="45"/>
        <n v="49"/>
        <n v="7"/>
        <n v="8"/>
        <n v="9"/>
        <n v="32"/>
        <n v="11"/>
        <n v="12"/>
        <n v="13"/>
        <n v="19"/>
        <n v="16"/>
        <n v="17"/>
        <n v="20"/>
        <n v="21"/>
        <n v="22"/>
        <n v="28"/>
        <n v="29"/>
        <n v="30"/>
        <n v="33"/>
        <n v="34"/>
        <n v="35"/>
        <n v="37"/>
        <n v="38"/>
        <n v="39"/>
        <n v="41"/>
        <n v="42"/>
        <n v="43"/>
        <n v="44"/>
        <n v="46"/>
        <n v="50"/>
        <n v="47"/>
        <n v="48"/>
        <n v="51"/>
        <n v="52"/>
        <n v="53"/>
      </sharedItems>
    </cacheField>
    <cacheField name="MES EN-DC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kwreal 6" numFmtId="2">
      <sharedItems containsSemiMixedTypes="0" containsString="0" containsNumber="1" minValue="0" maxValue="589.05000000000007"/>
    </cacheField>
    <cacheField name="kwreal 7" numFmtId="2">
      <sharedItems containsSemiMixedTypes="0" containsString="0" containsNumber="1" minValue="0" maxValue="559.30000000000007"/>
    </cacheField>
    <cacheField name="kwreal 8" numFmtId="2">
      <sharedItems containsSemiMixedTypes="0" containsString="0" containsNumber="1" minValue="421.75" maxValue="565.25"/>
    </cacheField>
    <cacheField name="kwreal 9" numFmtId="2">
      <sharedItems containsSemiMixedTypes="0" containsString="0" containsNumber="1" minValue="0" maxValue="563.5"/>
    </cacheField>
    <cacheField name="kreal fact max" numFmtId="2">
      <sharedItems containsSemiMixedTypes="0" containsString="0" containsNumber="1" minValue="421.75" maxValue="589.05000000000007"/>
    </cacheField>
    <cacheField name="Fpbase" numFmtId="2">
      <sharedItems containsSemiMixedTypes="0" containsString="0" containsNumber="1" minValue="0.92" maxValue="0.94"/>
    </cacheField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LineaBase-FD" numFmtId="2">
      <sharedItems containsSemiMixedTypes="0" containsString="0" containsNumber="1" minValue="0" maxValue="552.29999999999995"/>
    </cacheField>
    <cacheField name="FactorDemanda-Base" numFmtId="2">
      <sharedItems containsSemiMixedTypes="0" containsString="0" containsNumber="1" minValue="0" maxValue="1.5779999999999998"/>
    </cacheField>
  </cacheFields>
  <extLst>
    <ext xmlns:x14="http://schemas.microsoft.com/office/spreadsheetml/2009/9/main" uri="{725AE2AE-9491-48be-B2B4-4EB974FC3084}">
      <x14:pivotCacheDefinition pivotCacheId="9432666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n v="61414"/>
    <n v="23508"/>
    <n v="7670"/>
    <n v="27559"/>
    <n v="2675"/>
    <n v="0"/>
    <n v="0"/>
    <n v="1.4179999999999999"/>
    <n v="0"/>
    <n v="20589"/>
    <s v="07-20"/>
    <d v="2025-01-01T00:00:00"/>
    <n v="0.94"/>
    <n v="1.081"/>
    <n v="1.4179999999999999"/>
    <n v="1"/>
    <x v="0"/>
    <x v="0"/>
    <x v="0"/>
    <n v="0"/>
    <n v="0"/>
    <n v="496.29999999999995"/>
    <n v="0"/>
    <n v="496.29999999999995"/>
    <n v="0.92"/>
    <x v="0"/>
  </r>
  <r>
    <n v="61442"/>
    <n v="23508"/>
    <n v="7670"/>
    <n v="27582"/>
    <n v="2680"/>
    <n v="0"/>
    <n v="0"/>
    <n v="1.409"/>
    <n v="1.417"/>
    <n v="20867"/>
    <s v="07-29"/>
    <d v="2025-01-02T00:00:00"/>
    <n v="0.98"/>
    <n v="1.1020000000000001"/>
    <n v="1.417"/>
    <n v="2"/>
    <x v="0"/>
    <x v="0"/>
    <x v="0"/>
    <n v="0"/>
    <n v="0"/>
    <n v="493.15000000000003"/>
    <n v="495.95"/>
    <n v="495.95"/>
    <n v="0.92"/>
    <x v="0"/>
  </r>
  <r>
    <n v="61470"/>
    <n v="23520"/>
    <n v="7675"/>
    <n v="27593"/>
    <n v="2680"/>
    <n v="1.375"/>
    <n v="1.2849999999999999"/>
    <n v="1.409"/>
    <n v="1.417"/>
    <n v="20875"/>
    <s v="07-10"/>
    <d v="2025-01-03T00:00:00"/>
    <n v="0.98"/>
    <n v="0.91500000000000004"/>
    <n v="1.417"/>
    <n v="3"/>
    <x v="0"/>
    <x v="0"/>
    <x v="0"/>
    <n v="481.25"/>
    <n v="449.75"/>
    <n v="493.15000000000003"/>
    <n v="495.95"/>
    <n v="495.95"/>
    <n v="0.92"/>
    <x v="0"/>
  </r>
  <r>
    <n v="61499"/>
    <n v="23533"/>
    <n v="7680"/>
    <n v="27604"/>
    <n v="2680"/>
    <n v="1.4239999999999999"/>
    <n v="1.341"/>
    <n v="1.409"/>
    <n v="1.417"/>
    <n v="20885"/>
    <s v="07-05"/>
    <d v="2025-01-04T00:00:00"/>
    <n v="0.95"/>
    <n v="1.079"/>
    <n v="1.4239999999999999"/>
    <n v="4"/>
    <x v="0"/>
    <x v="0"/>
    <x v="0"/>
    <n v="498.4"/>
    <n v="469.34999999999997"/>
    <n v="493.15000000000003"/>
    <n v="495.95"/>
    <n v="498.4"/>
    <n v="0.92"/>
    <x v="0"/>
  </r>
  <r>
    <n v="61532"/>
    <n v="23533"/>
    <n v="7680"/>
    <n v="27625"/>
    <n v="2680"/>
    <n v="1.4239999999999999"/>
    <n v="1.341"/>
    <n v="1.4419999999999999"/>
    <n v="1.417"/>
    <n v="20859"/>
    <s v="07-25"/>
    <d v="2025-01-05T00:00:00"/>
    <n v="0.95"/>
    <n v="1.105"/>
    <n v="1.4419999999999999"/>
    <n v="5"/>
    <x v="0"/>
    <x v="1"/>
    <x v="0"/>
    <n v="498.4"/>
    <n v="469.34999999999997"/>
    <n v="504.7"/>
    <n v="495.95"/>
    <n v="504.7"/>
    <n v="0.94"/>
    <x v="0"/>
  </r>
  <r>
    <n v="61554"/>
    <n v="23533"/>
    <n v="7680"/>
    <n v="27650"/>
    <n v="2689"/>
    <n v="1.4239999999999999"/>
    <n v="1.341"/>
    <n v="1.4419999999999999"/>
    <n v="1.417"/>
    <n v="20898"/>
    <s v="07-00"/>
    <d v="2025-01-06T00:00:00"/>
    <n v="0.95"/>
    <n v="1.23"/>
    <n v="1.4419999999999999"/>
    <n v="6"/>
    <x v="0"/>
    <x v="1"/>
    <x v="0"/>
    <n v="498.4"/>
    <n v="469.34999999999997"/>
    <n v="504.7"/>
    <n v="495.95"/>
    <n v="504.7"/>
    <n v="0.94"/>
    <x v="0"/>
  </r>
  <r>
    <n v="61583"/>
    <n v="23595"/>
    <n v="7685"/>
    <n v="27662"/>
    <n v="2689"/>
    <n v="1.47"/>
    <n v="1.341"/>
    <n v="1.4419999999999999"/>
    <n v="1.417"/>
    <n v="20907"/>
    <s v="06-56"/>
    <d v="2025-01-07T00:00:00"/>
    <n v="0.98"/>
    <n v="1.117"/>
    <n v="1.47"/>
    <n v="7"/>
    <x v="0"/>
    <x v="1"/>
    <x v="0"/>
    <n v="514.5"/>
    <n v="469.34999999999997"/>
    <n v="504.7"/>
    <n v="495.95"/>
    <n v="514.5"/>
    <n v="0.94"/>
    <x v="0"/>
  </r>
  <r>
    <n v="61612"/>
    <n v="23558"/>
    <n v="7690"/>
    <n v="27674"/>
    <n v="2689"/>
    <n v="1.47"/>
    <n v="1.341"/>
    <n v="1.4419999999999999"/>
    <n v="1.417"/>
    <n v="20915"/>
    <s v="07-09"/>
    <d v="2025-01-08T00:00:00"/>
    <n v="0.94"/>
    <n v="1.171"/>
    <n v="1.47"/>
    <n v="8"/>
    <x v="0"/>
    <x v="1"/>
    <x v="0"/>
    <n v="514.5"/>
    <n v="469.34999999999997"/>
    <n v="504.7"/>
    <n v="495.95"/>
    <n v="514.5"/>
    <n v="0.94"/>
    <x v="0"/>
  </r>
  <r>
    <n v="61641"/>
    <n v="23571"/>
    <n v="7695"/>
    <n v="27685"/>
    <n v="2689"/>
    <n v="1.47"/>
    <n v="1.4970000000000001"/>
    <n v="1.4419999999999999"/>
    <n v="1.417"/>
    <n v="20924"/>
    <s v="07-20"/>
    <d v="2025-01-09T00:00:00"/>
    <n v="0.96"/>
    <n v="1.1160000000000001"/>
    <n v="1.4970000000000001"/>
    <n v="9"/>
    <x v="0"/>
    <x v="1"/>
    <x v="0"/>
    <n v="514.5"/>
    <n v="523.95000000000005"/>
    <n v="504.7"/>
    <n v="495.95"/>
    <n v="523.95000000000005"/>
    <n v="0.94"/>
    <x v="0"/>
  </r>
  <r>
    <n v="61670"/>
    <n v="23583"/>
    <n v="7699"/>
    <n v="27696"/>
    <n v="2689"/>
    <n v="1.544"/>
    <n v="1.4970000000000001"/>
    <n v="1.4419999999999999"/>
    <n v="1.417"/>
    <n v="20934"/>
    <s v="08-00"/>
    <d v="2025-01-10T00:00:00"/>
    <n v="0.94"/>
    <n v="0.98599999999999999"/>
    <n v="1.544"/>
    <n v="10"/>
    <x v="0"/>
    <x v="1"/>
    <x v="0"/>
    <n v="540.4"/>
    <n v="523.95000000000005"/>
    <n v="504.7"/>
    <n v="495.95"/>
    <n v="540.4"/>
    <n v="0.94"/>
    <x v="0"/>
  </r>
  <r>
    <n v="61697"/>
    <n v="23595"/>
    <n v="7704"/>
    <n v="27707"/>
    <n v="2689"/>
    <n v="1.544"/>
    <n v="1.4970000000000001"/>
    <n v="1.4419999999999999"/>
    <n v="1.417"/>
    <n v="20942"/>
    <s v="07-07"/>
    <d v="2025-01-11T00:00:00"/>
    <n v="0.97"/>
    <n v="1.08"/>
    <n v="1.544"/>
    <n v="11"/>
    <x v="0"/>
    <x v="1"/>
    <x v="0"/>
    <n v="540.4"/>
    <n v="523.95000000000005"/>
    <n v="504.7"/>
    <n v="495.95"/>
    <n v="540.4"/>
    <n v="0.94"/>
    <x v="0"/>
  </r>
  <r>
    <n v="61734"/>
    <n v="23595"/>
    <n v="7704"/>
    <n v="27739"/>
    <n v="2694"/>
    <n v="1.544"/>
    <n v="1.4970000000000001"/>
    <n v="1.4419999999999999"/>
    <n v="1.417"/>
    <n v="20953"/>
    <s v="14-54"/>
    <d v="2025-01-12T00:00:00"/>
    <n v="0.95"/>
    <n v="1.0109999999999999"/>
    <n v="1.544"/>
    <n v="12"/>
    <x v="0"/>
    <x v="2"/>
    <x v="0"/>
    <n v="540.4"/>
    <n v="523.95000000000005"/>
    <n v="504.7"/>
    <n v="495.95"/>
    <n v="540.4"/>
    <n v="0.94"/>
    <x v="0"/>
  </r>
  <r>
    <n v="61752"/>
    <n v="23595"/>
    <n v="7704"/>
    <n v="27753"/>
    <n v="2699"/>
    <n v="1.544"/>
    <n v="1.4970000000000001"/>
    <n v="1.4419999999999999"/>
    <n v="1.417"/>
    <n v="20958"/>
    <s v="07-05"/>
    <s v="13/01/2025"/>
    <n v="0.94"/>
    <n v="1.1379999999999999"/>
    <n v="1.544"/>
    <n v="13"/>
    <x v="0"/>
    <x v="2"/>
    <x v="0"/>
    <n v="540.4"/>
    <n v="523.95000000000005"/>
    <n v="504.7"/>
    <n v="495.95"/>
    <n v="540.4"/>
    <n v="0.92"/>
    <x v="0"/>
  </r>
  <r>
    <n v="61780"/>
    <n v="23607"/>
    <n v="7709"/>
    <n v="27764"/>
    <n v="2699"/>
    <n v="1.544"/>
    <n v="1.4970000000000001"/>
    <n v="1.4419999999999999"/>
    <n v="1.417"/>
    <n v="20966"/>
    <s v="06-56"/>
    <s v="14/01/2025"/>
    <n v="0.95"/>
    <n v="1.1339999999999999"/>
    <n v="1.544"/>
    <n v="14"/>
    <x v="0"/>
    <x v="2"/>
    <x v="0"/>
    <n v="540.4"/>
    <n v="523.95000000000005"/>
    <n v="504.7"/>
    <n v="495.95"/>
    <n v="540.4"/>
    <n v="0.92"/>
    <x v="0"/>
  </r>
  <r>
    <n v="61910"/>
    <n v="23620"/>
    <n v="7714"/>
    <n v="27776"/>
    <n v="2699"/>
    <n v="1.544"/>
    <n v="1.4970000000000001"/>
    <n v="1.4419999999999999"/>
    <n v="1.417"/>
    <n v="20975"/>
    <s v="07-14"/>
    <s v="15/01/2025"/>
    <n v="0.97"/>
    <n v="1.1220000000000001"/>
    <n v="1.544"/>
    <n v="15"/>
    <x v="0"/>
    <x v="2"/>
    <x v="0"/>
    <n v="540.4"/>
    <n v="523.95000000000005"/>
    <n v="504.7"/>
    <n v="495.95"/>
    <n v="540.4"/>
    <n v="0.92"/>
    <x v="0"/>
  </r>
  <r>
    <n v="61840"/>
    <n v="23633"/>
    <n v="7719"/>
    <n v="27788"/>
    <n v="2699"/>
    <n v="1.544"/>
    <n v="1.4970000000000001"/>
    <n v="1.4419999999999999"/>
    <n v="1.417"/>
    <n v="20984"/>
    <s v="08-06"/>
    <s v="16/01/2025"/>
    <n v="0.96"/>
    <n v="1.111"/>
    <n v="1.544"/>
    <n v="16"/>
    <x v="0"/>
    <x v="2"/>
    <x v="0"/>
    <n v="540.4"/>
    <n v="523.95000000000005"/>
    <n v="504.7"/>
    <n v="495.95"/>
    <n v="540.4"/>
    <n v="0.92"/>
    <x v="0"/>
  </r>
  <r>
    <n v="61869"/>
    <n v="23645"/>
    <n v="7724"/>
    <n v="27800"/>
    <n v="2699"/>
    <n v="1.544"/>
    <n v="1.4970000000000001"/>
    <n v="1.4419999999999999"/>
    <n v="1.417"/>
    <n v="20592"/>
    <s v="07-49"/>
    <s v="17/01/2025"/>
    <n v="0.96"/>
    <n v="1.129"/>
    <n v="1.544"/>
    <n v="17"/>
    <x v="0"/>
    <x v="2"/>
    <x v="0"/>
    <n v="540.4"/>
    <n v="523.95000000000005"/>
    <n v="504.7"/>
    <n v="495.95"/>
    <n v="540.4"/>
    <n v="0.92"/>
    <x v="0"/>
  </r>
  <r>
    <n v="61898"/>
    <n v="23658"/>
    <n v="7729"/>
    <n v="27810"/>
    <n v="2699"/>
    <n v="1.544"/>
    <n v="1.4970000000000001"/>
    <n v="1.4419999999999999"/>
    <n v="1.417"/>
    <n v="21001"/>
    <s v="07-03"/>
    <s v="18/01/2025"/>
    <n v="0.95"/>
    <n v="1.1579999999999999"/>
    <n v="1.544"/>
    <n v="18"/>
    <x v="0"/>
    <x v="2"/>
    <x v="0"/>
    <n v="540.4"/>
    <n v="523.95000000000005"/>
    <n v="504.7"/>
    <n v="495.95"/>
    <n v="540.4"/>
    <n v="0.92"/>
    <x v="0"/>
  </r>
  <r>
    <n v="61928"/>
    <n v="23658"/>
    <n v="7729"/>
    <n v="27836"/>
    <n v="2703"/>
    <n v="1.544"/>
    <n v="1.4970000000000001"/>
    <n v="1.4419999999999999"/>
    <n v="1.417"/>
    <n v="21010"/>
    <s v="08-28"/>
    <s v="19/01/2025"/>
    <n v="0.96"/>
    <n v="1.1100000000000001"/>
    <n v="1.544"/>
    <n v="19"/>
    <x v="0"/>
    <x v="3"/>
    <x v="0"/>
    <n v="540.4"/>
    <n v="523.95000000000005"/>
    <n v="504.7"/>
    <n v="495.95"/>
    <n v="540.4"/>
    <n v="0.92"/>
    <x v="0"/>
  </r>
  <r>
    <n v="61959"/>
    <n v="23658"/>
    <n v="7729"/>
    <n v="27855"/>
    <n v="2708"/>
    <n v="1.544"/>
    <n v="1.4970000000000001"/>
    <n v="1.4419999999999999"/>
    <n v="1.417"/>
    <n v="21019"/>
    <s v="06-57"/>
    <s v="20/01/2025"/>
    <n v="0.96"/>
    <n v="1.169"/>
    <n v="1.544"/>
    <n v="20"/>
    <x v="0"/>
    <x v="3"/>
    <x v="0"/>
    <n v="540.4"/>
    <n v="523.95000000000005"/>
    <n v="504.7"/>
    <n v="495.95"/>
    <n v="540.4"/>
    <n v="0.92"/>
    <x v="0"/>
  </r>
  <r>
    <n v="61987"/>
    <n v="23673"/>
    <n v="7734"/>
    <n v="27871"/>
    <n v="2708"/>
    <n v="1.544"/>
    <n v="1.4970000000000001"/>
    <n v="1.4419999999999999"/>
    <n v="1.417"/>
    <n v="21028"/>
    <s v="09-19"/>
    <s v="21/01/2025"/>
    <n v="0.95"/>
    <n v="1.1759999999999999"/>
    <n v="1.544"/>
    <n v="21"/>
    <x v="0"/>
    <x v="3"/>
    <x v="0"/>
    <n v="540.4"/>
    <n v="523.95000000000005"/>
    <n v="504.7"/>
    <n v="495.95"/>
    <n v="540.4"/>
    <n v="0.92"/>
    <x v="0"/>
  </r>
  <r>
    <n v="62014"/>
    <n v="23684"/>
    <n v="7739"/>
    <n v="27881"/>
    <n v="2708"/>
    <n v="1.544"/>
    <n v="1.5109999999999999"/>
    <n v="1.4419999999999999"/>
    <n v="1.417"/>
    <n v="21037"/>
    <s v="07-06"/>
    <s v="22/01/2025"/>
    <n v="0.94"/>
    <n v="1.173"/>
    <n v="1.544"/>
    <n v="22"/>
    <x v="0"/>
    <x v="3"/>
    <x v="0"/>
    <n v="540.4"/>
    <n v="528.84999999999991"/>
    <n v="504.7"/>
    <n v="495.95"/>
    <n v="540.4"/>
    <n v="0.92"/>
    <x v="0"/>
  </r>
  <r>
    <n v="62094"/>
    <n v="23698"/>
    <n v="7744"/>
    <n v="27893"/>
    <n v="2708"/>
    <n v="1.544"/>
    <n v="1.5109999999999999"/>
    <n v="1.4419999999999999"/>
    <n v="1.417"/>
    <n v="21034"/>
    <s v="07-28"/>
    <s v="23/01/2025"/>
    <n v="0.95"/>
    <n v="1.06"/>
    <n v="1.544"/>
    <n v="23"/>
    <x v="0"/>
    <x v="3"/>
    <x v="0"/>
    <n v="540.4"/>
    <n v="528.84999999999991"/>
    <n v="504.7"/>
    <n v="495.95"/>
    <n v="540.4"/>
    <n v="0.92"/>
    <x v="0"/>
  </r>
  <r>
    <n v="62073"/>
    <n v="23710"/>
    <n v="7749"/>
    <n v="27905"/>
    <n v="2708"/>
    <n v="1.544"/>
    <n v="1.5109999999999999"/>
    <n v="1.4419999999999999"/>
    <n v="1.417"/>
    <n v="21054"/>
    <s v="07-28"/>
    <s v="24/01/2025"/>
    <n v="0.95"/>
    <n v="1.101"/>
    <n v="1.544"/>
    <n v="24"/>
    <x v="0"/>
    <x v="3"/>
    <x v="0"/>
    <n v="540.4"/>
    <n v="528.84999999999991"/>
    <n v="504.7"/>
    <n v="495.95"/>
    <n v="540.4"/>
    <n v="0.92"/>
    <x v="0"/>
  </r>
  <r>
    <n v="62110"/>
    <n v="23724"/>
    <n v="7754"/>
    <n v="27923"/>
    <n v="2708"/>
    <n v="1.544"/>
    <n v="1.5109999999999999"/>
    <n v="1.488"/>
    <n v="1.417"/>
    <n v="21066"/>
    <s v="12-54"/>
    <s v="25/01/2025"/>
    <n v="0.94"/>
    <n v="1.35"/>
    <n v="1.544"/>
    <n v="25"/>
    <x v="0"/>
    <x v="3"/>
    <x v="0"/>
    <n v="540.4"/>
    <n v="528.84999999999991"/>
    <n v="520.79999999999995"/>
    <n v="495.95"/>
    <n v="540.4"/>
    <n v="0.92"/>
    <x v="0"/>
  </r>
  <r>
    <n v="62144"/>
    <n v="23724"/>
    <n v="7754"/>
    <n v="27951"/>
    <n v="2713"/>
    <n v="1.544"/>
    <n v="1.5109999999999999"/>
    <n v="1.5880000000000001"/>
    <n v="1.466"/>
    <n v="21077"/>
    <s v="14-59"/>
    <s v="26/01/2025"/>
    <n v="0.94"/>
    <n v="1.4039999999999999"/>
    <n v="1.5880000000000001"/>
    <n v="26"/>
    <x v="0"/>
    <x v="4"/>
    <x v="0"/>
    <n v="540.4"/>
    <n v="528.84999999999991"/>
    <n v="555.80000000000007"/>
    <n v="513.1"/>
    <n v="555.80000000000007"/>
    <n v="0.92"/>
    <x v="0"/>
  </r>
  <r>
    <n v="62164"/>
    <n v="23724"/>
    <n v="7754"/>
    <n v="27966"/>
    <n v="2719"/>
    <n v="1.544"/>
    <n v="1.5109999999999999"/>
    <n v="1.538"/>
    <n v="1.466"/>
    <n v="21083"/>
    <s v="06-45"/>
    <s v="27/01/2025"/>
    <n v="0.94"/>
    <n v="1.2310000000000001"/>
    <n v="1.544"/>
    <n v="27"/>
    <x v="0"/>
    <x v="4"/>
    <x v="0"/>
    <n v="540.4"/>
    <n v="528.84999999999991"/>
    <n v="538.30000000000007"/>
    <n v="513.1"/>
    <n v="540.4"/>
    <n v="0.92"/>
    <x v="0"/>
  </r>
  <r>
    <n v="62195"/>
    <n v="23737"/>
    <n v="7759"/>
    <n v="27979"/>
    <n v="2719"/>
    <n v="1.544"/>
    <n v="1.5109999999999999"/>
    <n v="1.538"/>
    <n v="1.466"/>
    <n v="21092"/>
    <s v="07-19"/>
    <s v="28/01/2025"/>
    <n v="0.92"/>
    <n v="1.29"/>
    <n v="1.544"/>
    <n v="28"/>
    <x v="0"/>
    <x v="4"/>
    <x v="0"/>
    <n v="540.4"/>
    <n v="528.84999999999991"/>
    <n v="538.30000000000007"/>
    <n v="513.1"/>
    <n v="540.4"/>
    <n v="0.92"/>
    <x v="0"/>
  </r>
  <r>
    <n v="62225"/>
    <n v="23750"/>
    <n v="7764"/>
    <n v="27990"/>
    <n v="2719"/>
    <n v="1.587"/>
    <n v="1.5609999999999999"/>
    <n v="1.538"/>
    <n v="1.466"/>
    <n v="21105"/>
    <s v="07-18"/>
    <s v="29/01/2025"/>
    <n v="0.91"/>
    <n v="0.93700000000000006"/>
    <n v="1.587"/>
    <n v="29"/>
    <x v="0"/>
    <x v="4"/>
    <x v="0"/>
    <n v="555.44999999999993"/>
    <n v="546.35"/>
    <n v="538.30000000000007"/>
    <n v="513.1"/>
    <n v="555.44999999999993"/>
    <n v="0.92"/>
    <x v="0"/>
  </r>
  <r>
    <n v="62256"/>
    <n v="23764"/>
    <n v="7769"/>
    <n v="28003"/>
    <n v="2719"/>
    <n v="1.587"/>
    <n v="1.5609999999999999"/>
    <n v="1.538"/>
    <n v="1.466"/>
    <n v="21117"/>
    <s v="07-29"/>
    <s v="30/01/2025"/>
    <n v="0.96"/>
    <n v="1.19"/>
    <n v="1.587"/>
    <n v="30"/>
    <x v="0"/>
    <x v="4"/>
    <x v="0"/>
    <n v="555.44999999999993"/>
    <n v="546.35"/>
    <n v="538.30000000000007"/>
    <n v="513.1"/>
    <n v="555.44999999999993"/>
    <n v="0.92"/>
    <x v="0"/>
  </r>
  <r>
    <n v="62286"/>
    <n v="23777"/>
    <n v="7775"/>
    <n v="28014"/>
    <n v="2719"/>
    <n v="1.587"/>
    <n v="1.5609999999999999"/>
    <n v="1.538"/>
    <n v="1.466"/>
    <n v="21126"/>
    <s v="07-14"/>
    <s v="31/01/2025"/>
    <n v="0.96"/>
    <n v="1.0920000000000001"/>
    <n v="1.587"/>
    <n v="31"/>
    <x v="0"/>
    <x v="4"/>
    <x v="0"/>
    <n v="555.44999999999993"/>
    <n v="546.35"/>
    <n v="538.30000000000007"/>
    <n v="513.1"/>
    <n v="555.44999999999993"/>
    <n v="0.92"/>
    <x v="0"/>
  </r>
  <r>
    <n v="6218"/>
    <n v="23791"/>
    <n v="7780"/>
    <n v="28027"/>
    <n v="2724"/>
    <n v="0"/>
    <n v="0"/>
    <n v="1.335"/>
    <n v="0"/>
    <n v="21131"/>
    <s v="07-22"/>
    <d v="2025-01-02T00:00:00"/>
    <n v="0.96"/>
    <n v="1.248"/>
    <n v="1.335"/>
    <n v="2"/>
    <x v="0"/>
    <x v="0"/>
    <x v="0"/>
    <n v="0"/>
    <n v="0"/>
    <n v="467.25"/>
    <n v="0"/>
    <n v="467.25"/>
    <n v="0.92"/>
    <x v="0"/>
  </r>
  <r>
    <n v="62349"/>
    <n v="23791"/>
    <n v="7780"/>
    <n v="28053"/>
    <n v="2724"/>
    <n v="0"/>
    <n v="0"/>
    <n v="1.4910000000000001"/>
    <n v="1.409"/>
    <n v="21147"/>
    <s v="07-19"/>
    <d v="2025-02-02T00:00:00"/>
    <n v="0.91"/>
    <n v="1.2050000000000001"/>
    <n v="1.4910000000000001"/>
    <n v="2"/>
    <x v="1"/>
    <x v="5"/>
    <x v="1"/>
    <n v="0"/>
    <n v="0"/>
    <n v="521.85"/>
    <n v="493.15000000000003"/>
    <n v="521.85"/>
    <n v="0.92"/>
    <x v="0"/>
  </r>
  <r>
    <n v="62379"/>
    <n v="23791"/>
    <n v="7780"/>
    <n v="28077"/>
    <n v="2729"/>
    <n v="1.131"/>
    <n v="0"/>
    <n v="1.5389999999999999"/>
    <n v="1.61"/>
    <n v="21158"/>
    <s v="08-16"/>
    <d v="2025-03-02T00:00:00"/>
    <n v="0.93"/>
    <n v="1.238"/>
    <n v="1.61"/>
    <n v="2"/>
    <x v="2"/>
    <x v="6"/>
    <x v="2"/>
    <n v="395.85"/>
    <n v="0"/>
    <n v="538.65"/>
    <n v="563.5"/>
    <n v="563.5"/>
    <n v="0.92"/>
    <x v="0"/>
  </r>
  <r>
    <n v="62409"/>
    <n v="23805"/>
    <n v="7785"/>
    <n v="28088"/>
    <n v="2729"/>
    <n v="1.55"/>
    <n v="1.4390000000000001"/>
    <n v="1.5389999999999999"/>
    <n v="1.61"/>
    <n v="21168"/>
    <s v="07-05"/>
    <d v="2025-04-02T00:00:00"/>
    <n v="0.96"/>
    <n v="1.2050000000000001"/>
    <n v="1.61"/>
    <n v="2"/>
    <x v="3"/>
    <x v="7"/>
    <x v="3"/>
    <n v="542.5"/>
    <n v="503.65000000000003"/>
    <n v="538.65"/>
    <n v="563.5"/>
    <n v="563.5"/>
    <n v="0.92"/>
    <x v="0"/>
  </r>
  <r>
    <n v="62458"/>
    <n v="23818"/>
    <n v="7791"/>
    <n v="28098"/>
    <n v="2729"/>
    <n v="1.583"/>
    <n v="1.4"/>
    <n v="1.5389999999999999"/>
    <n v="1.61"/>
    <n v="21178"/>
    <s v="13-15"/>
    <d v="2025-05-02T00:00:00"/>
    <n v="0.95"/>
    <n v="1.157"/>
    <n v="1.61"/>
    <n v="2"/>
    <x v="4"/>
    <x v="8"/>
    <x v="4"/>
    <n v="554.04999999999995"/>
    <n v="489.99999999999994"/>
    <n v="538.65"/>
    <n v="563.5"/>
    <n v="563.5"/>
    <n v="0.94"/>
    <x v="0"/>
  </r>
  <r>
    <n v="62467"/>
    <n v="23828"/>
    <n v="7796"/>
    <n v="28112"/>
    <n v="2729"/>
    <n v="1.625"/>
    <n v="1.5109999999999999"/>
    <n v="1.5389999999999999"/>
    <n v="1.61"/>
    <n v="21188"/>
    <s v="07-15"/>
    <d v="2025-06-02T00:00:00"/>
    <n v="0.93"/>
    <n v="1.1619999999999999"/>
    <n v="1.625"/>
    <n v="2"/>
    <x v="5"/>
    <x v="9"/>
    <x v="5"/>
    <n v="568.75"/>
    <n v="528.84999999999991"/>
    <n v="538.65"/>
    <n v="563.5"/>
    <n v="568.75"/>
    <n v="0.94"/>
    <x v="0"/>
  </r>
  <r>
    <n v="62498"/>
    <n v="23842"/>
    <n v="7801"/>
    <n v="28125"/>
    <n v="2729"/>
    <n v="1.625"/>
    <n v="1.5109999999999999"/>
    <n v="1.5109999999999999"/>
    <n v="1.61"/>
    <n v="21200"/>
    <s v="07-50"/>
    <d v="2025-07-02T00:00:00"/>
    <n v="0.95"/>
    <n v="1.21"/>
    <n v="1.625"/>
    <n v="2"/>
    <x v="6"/>
    <x v="10"/>
    <x v="6"/>
    <n v="568.75"/>
    <n v="528.84999999999991"/>
    <n v="528.84999999999991"/>
    <n v="563.5"/>
    <n v="568.75"/>
    <n v="0.94"/>
    <x v="0"/>
  </r>
  <r>
    <n v="62530"/>
    <n v="23855"/>
    <n v="7806"/>
    <n v="28139"/>
    <n v="2729"/>
    <n v="1.625"/>
    <n v="1.5109999999999999"/>
    <n v="1.5389999999999999"/>
    <n v="1.61"/>
    <n v="21211"/>
    <s v="09-40"/>
    <d v="2025-08-02T00:00:00"/>
    <n v="0.98"/>
    <n v="1.1830000000000001"/>
    <n v="1.625"/>
    <n v="2"/>
    <x v="7"/>
    <x v="11"/>
    <x v="7"/>
    <n v="568.75"/>
    <n v="528.84999999999991"/>
    <n v="538.65"/>
    <n v="563.5"/>
    <n v="568.75"/>
    <n v="0.94"/>
    <x v="0"/>
  </r>
  <r>
    <n v="62560"/>
    <n v="23855"/>
    <n v="7806"/>
    <n v="28163"/>
    <n v="2734"/>
    <n v="1.625"/>
    <n v="1.5109999999999999"/>
    <n v="1.5389999999999999"/>
    <n v="1.61"/>
    <n v="21221"/>
    <s v="10-03"/>
    <d v="2025-09-02T00:00:00"/>
    <n v="0.95"/>
    <n v="1.157"/>
    <n v="1.625"/>
    <n v="2"/>
    <x v="8"/>
    <x v="12"/>
    <x v="8"/>
    <n v="568.75"/>
    <n v="528.84999999999991"/>
    <n v="538.65"/>
    <n v="563.5"/>
    <n v="568.75"/>
    <n v="0.94"/>
    <x v="0"/>
  </r>
  <r>
    <n v="62589"/>
    <n v="23857"/>
    <n v="7806"/>
    <n v="28188"/>
    <n v="2739"/>
    <n v="1.625"/>
    <n v="1.5109999999999999"/>
    <n v="1.5389999999999999"/>
    <n v="1.61"/>
    <n v="21231"/>
    <s v="10-02"/>
    <d v="2025-10-02T00:00:00"/>
    <n v="0.93"/>
    <n v="1.0469999999999999"/>
    <n v="1.625"/>
    <n v="2"/>
    <x v="9"/>
    <x v="13"/>
    <x v="9"/>
    <n v="568.75"/>
    <n v="528.84999999999991"/>
    <n v="538.65"/>
    <n v="563.5"/>
    <n v="568.75"/>
    <n v="0.94"/>
    <x v="0"/>
  </r>
  <r>
    <n v="62620"/>
    <n v="23871"/>
    <n v="7811"/>
    <n v="28197"/>
    <n v="2739"/>
    <n v="1.625"/>
    <n v="0.95299999999999996"/>
    <n v="1.5389999999999999"/>
    <n v="1.61"/>
    <n v="21242"/>
    <s v="10-00"/>
    <d v="2025-11-02T00:00:00"/>
    <n v="0.95"/>
    <n v="1.32"/>
    <n v="1.625"/>
    <n v="2"/>
    <x v="10"/>
    <x v="14"/>
    <x v="10"/>
    <n v="568.75"/>
    <n v="333.55"/>
    <n v="538.65"/>
    <n v="563.5"/>
    <n v="568.75"/>
    <n v="0.94"/>
    <x v="0"/>
  </r>
  <r>
    <n v="62645"/>
    <n v="23881"/>
    <n v="7816"/>
    <n v="28208"/>
    <n v="2739"/>
    <n v="1.625"/>
    <n v="0.95299999999999996"/>
    <n v="1.5389999999999999"/>
    <n v="1.61"/>
    <n v="21250"/>
    <s v="07-10"/>
    <d v="2025-12-02T00:00:00"/>
    <n v="0.96"/>
    <n v="1.0649999999999999"/>
    <n v="1.625"/>
    <n v="2"/>
    <x v="11"/>
    <x v="15"/>
    <x v="11"/>
    <n v="568.75"/>
    <n v="333.55"/>
    <n v="538.65"/>
    <n v="563.5"/>
    <n v="568.75"/>
    <n v="0.94"/>
    <x v="0"/>
  </r>
  <r>
    <n v="62675"/>
    <n v="23893"/>
    <n v="7821"/>
    <n v="28220"/>
    <n v="2739"/>
    <n v="1.625"/>
    <n v="1.014"/>
    <n v="1.5389999999999999"/>
    <n v="1.61"/>
    <n v="21261"/>
    <s v="07-15"/>
    <s v="13/02/2025"/>
    <n v="0.95"/>
    <n v="1.1679999999999999"/>
    <n v="1.625"/>
    <n v="13"/>
    <x v="1"/>
    <x v="16"/>
    <x v="1"/>
    <n v="568.75"/>
    <n v="354.9"/>
    <n v="538.65"/>
    <n v="563.5"/>
    <n v="568.75"/>
    <n v="0.92"/>
    <x v="0"/>
  </r>
  <r>
    <n v="62706"/>
    <n v="23907"/>
    <n v="7826"/>
    <n v="28232"/>
    <n v="2739"/>
    <n v="1.625"/>
    <n v="1.014"/>
    <n v="1.5389999999999999"/>
    <n v="1.61"/>
    <n v="21271"/>
    <s v="07-10"/>
    <s v="14/02/2025"/>
    <n v="0.94"/>
    <n v="1.0449999999999999"/>
    <n v="1.625"/>
    <n v="14"/>
    <x v="1"/>
    <x v="16"/>
    <x v="1"/>
    <n v="568.75"/>
    <n v="354.9"/>
    <n v="538.65"/>
    <n v="563.5"/>
    <n v="568.75"/>
    <n v="0.92"/>
    <x v="0"/>
  </r>
  <r>
    <n v="62736"/>
    <n v="23920"/>
    <n v="7831"/>
    <n v="28244"/>
    <n v="2739"/>
    <n v="1.625"/>
    <n v="1.04"/>
    <n v="1.5389999999999999"/>
    <n v="1.61"/>
    <n v="21282"/>
    <s v="07-25"/>
    <s v="15/02/2025"/>
    <n v="0.94"/>
    <n v="1.1180000000000001"/>
    <n v="1.625"/>
    <n v="15"/>
    <x v="1"/>
    <x v="16"/>
    <x v="1"/>
    <n v="568.75"/>
    <n v="364"/>
    <n v="538.65"/>
    <n v="563.5"/>
    <n v="568.75"/>
    <n v="0.92"/>
    <x v="0"/>
  </r>
  <r>
    <n v="62767"/>
    <n v="23920"/>
    <n v="7831"/>
    <n v="28270"/>
    <n v="2744"/>
    <n v="1.625"/>
    <n v="1.04"/>
    <n v="1.546"/>
    <n v="1.61"/>
    <n v="21293"/>
    <s v="07-12"/>
    <s v="16/02/2025"/>
    <n v="0.94"/>
    <n v="1.1319999999999999"/>
    <n v="1.625"/>
    <n v="16"/>
    <x v="1"/>
    <x v="17"/>
    <x v="1"/>
    <n v="568.75"/>
    <n v="364"/>
    <n v="541.1"/>
    <n v="563.5"/>
    <n v="568.75"/>
    <n v="0.92"/>
    <x v="0"/>
  </r>
  <r>
    <n v="62809"/>
    <n v="23928"/>
    <n v="7831"/>
    <n v="28286"/>
    <n v="2744"/>
    <n v="1.625"/>
    <n v="1.04"/>
    <n v="1.546"/>
    <n v="1.61"/>
    <n v="21300"/>
    <s v="08-30"/>
    <s v="17/02/2025"/>
    <n v="0.94"/>
    <n v="1.1479999999999999"/>
    <n v="1.625"/>
    <n v="17"/>
    <x v="1"/>
    <x v="17"/>
    <x v="1"/>
    <n v="568.75"/>
    <n v="364"/>
    <n v="541.1"/>
    <n v="563.5"/>
    <n v="568.75"/>
    <n v="0.92"/>
    <x v="0"/>
  </r>
  <r>
    <n v="62824"/>
    <n v="23932"/>
    <n v="7836"/>
    <n v="28305"/>
    <n v="2749"/>
    <n v="1.625"/>
    <n v="1.04"/>
    <n v="1.546"/>
    <n v="1.61"/>
    <n v="31312"/>
    <s v="07-17"/>
    <s v="18/02/2025"/>
    <n v="0.95"/>
    <n v="1.0309999999999999"/>
    <n v="1.625"/>
    <n v="18"/>
    <x v="1"/>
    <x v="17"/>
    <x v="1"/>
    <n v="568.75"/>
    <n v="364"/>
    <n v="541.1"/>
    <n v="563.5"/>
    <n v="568.75"/>
    <n v="0.92"/>
    <x v="0"/>
  </r>
  <r>
    <n v="62853"/>
    <n v="23945"/>
    <n v="7841"/>
    <n v="28306"/>
    <n v="2749"/>
    <n v="1.625"/>
    <n v="1.04"/>
    <n v="1.546"/>
    <n v="1.61"/>
    <n v="31323"/>
    <s v="07-00"/>
    <s v="19/02/2025"/>
    <n v="0.94"/>
    <n v="11.26"/>
    <n v="1.625"/>
    <n v="19"/>
    <x v="1"/>
    <x v="17"/>
    <x v="1"/>
    <n v="568.75"/>
    <n v="364"/>
    <n v="541.1"/>
    <n v="563.5"/>
    <n v="568.75"/>
    <n v="0.92"/>
    <x v="0"/>
  </r>
  <r>
    <n v="62883"/>
    <n v="23958"/>
    <n v="7846"/>
    <n v="28328"/>
    <n v="2749"/>
    <n v="1.625"/>
    <n v="1.0489999999999999"/>
    <n v="1.546"/>
    <n v="1.61"/>
    <n v="3133"/>
    <s v="07-12"/>
    <s v="20/02/2025"/>
    <n v="0.92"/>
    <n v="1.165"/>
    <n v="1.625"/>
    <n v="20"/>
    <x v="1"/>
    <x v="17"/>
    <x v="1"/>
    <n v="568.75"/>
    <n v="367.15"/>
    <n v="541.1"/>
    <n v="563.5"/>
    <n v="568.75"/>
    <n v="0.92"/>
    <x v="0"/>
  </r>
  <r>
    <n v="62913"/>
    <n v="23970"/>
    <n v="7851"/>
    <n v="28341"/>
    <n v="2749"/>
    <n v="1.625"/>
    <n v="1.137"/>
    <n v="1.546"/>
    <n v="1.61"/>
    <n v="21344"/>
    <s v="07-30"/>
    <s v="21/02/2025"/>
    <n v="0.92"/>
    <n v="1.3009999999999999"/>
    <n v="1.625"/>
    <n v="21"/>
    <x v="1"/>
    <x v="17"/>
    <x v="1"/>
    <n v="568.75"/>
    <n v="397.95"/>
    <n v="541.1"/>
    <n v="563.5"/>
    <n v="568.75"/>
    <n v="0.92"/>
    <x v="0"/>
  </r>
  <r>
    <n v="62943"/>
    <n v="23984"/>
    <n v="7856"/>
    <n v="28353"/>
    <n v="2749"/>
    <n v="1.625"/>
    <n v="1.149"/>
    <n v="1.546"/>
    <n v="1.61"/>
    <n v="21356"/>
    <s v="07-39"/>
    <s v="22/02/2025"/>
    <n v="0.93"/>
    <n v="1.4370000000000001"/>
    <n v="1.625"/>
    <n v="22"/>
    <x v="1"/>
    <x v="17"/>
    <x v="1"/>
    <n v="568.75"/>
    <n v="402.15000000000003"/>
    <n v="541.1"/>
    <n v="563.5"/>
    <n v="568.75"/>
    <n v="0.92"/>
    <x v="0"/>
  </r>
  <r>
    <n v="62968"/>
    <n v="23986"/>
    <n v="7856"/>
    <n v="28385"/>
    <n v="2749"/>
    <n v="1.625"/>
    <n v="1.149"/>
    <n v="1.546"/>
    <n v="1.61"/>
    <n v="21460"/>
    <s v="10-48"/>
    <s v="23/02/2025"/>
    <n v="0.93"/>
    <n v="1.04"/>
    <n v="1.625"/>
    <n v="23"/>
    <x v="1"/>
    <x v="18"/>
    <x v="1"/>
    <n v="568.75"/>
    <n v="402.15000000000003"/>
    <n v="541.1"/>
    <n v="563.5"/>
    <n v="568.75"/>
    <n v="0.92"/>
    <x v="0"/>
  </r>
  <r>
    <n v="63006"/>
    <n v="23989"/>
    <n v="7856"/>
    <n v="28401"/>
    <n v="2759"/>
    <n v="1.625"/>
    <n v="1.3879999999999999"/>
    <n v="1.546"/>
    <n v="1.61"/>
    <n v="21380"/>
    <s v="12-11"/>
    <s v="24/02/2025"/>
    <n v="0.94"/>
    <n v="1.3879999999999999"/>
    <n v="1.625"/>
    <n v="24"/>
    <x v="1"/>
    <x v="18"/>
    <x v="1"/>
    <n v="568.75"/>
    <n v="485.79999999999995"/>
    <n v="541.1"/>
    <n v="563.5"/>
    <n v="568.75"/>
    <n v="0.92"/>
    <x v="0"/>
  </r>
  <r>
    <n v="63034"/>
    <n v="24000"/>
    <n v="7862"/>
    <n v="28413"/>
    <n v="2759"/>
    <n v="1.625"/>
    <n v="1.3879999999999999"/>
    <n v="1.546"/>
    <n v="1.61"/>
    <n v="21390"/>
    <s v="10-30"/>
    <s v="25/02/2025"/>
    <n v="0.95"/>
    <n v="1.248"/>
    <n v="1.625"/>
    <n v="25"/>
    <x v="1"/>
    <x v="18"/>
    <x v="1"/>
    <n v="568.75"/>
    <n v="485.79999999999995"/>
    <n v="541.1"/>
    <n v="563.5"/>
    <n v="568.75"/>
    <n v="0.92"/>
    <x v="0"/>
  </r>
  <r>
    <n v="63061"/>
    <n v="24010"/>
    <n v="7867"/>
    <n v="28424"/>
    <n v="2759"/>
    <n v="1.625"/>
    <n v="1.3879999999999999"/>
    <n v="1.546"/>
    <n v="1.61"/>
    <n v="21400"/>
    <s v="07-47"/>
    <s v="26/02/2025"/>
    <n v="0.94"/>
    <n v="1.1259999999999999"/>
    <n v="1.625"/>
    <n v="26"/>
    <x v="1"/>
    <x v="18"/>
    <x v="1"/>
    <n v="568.75"/>
    <n v="485.79999999999995"/>
    <n v="541.1"/>
    <n v="563.5"/>
    <n v="568.75"/>
    <n v="0.92"/>
    <x v="0"/>
  </r>
  <r>
    <n v="63091"/>
    <n v="24023"/>
    <n v="7872"/>
    <n v="28436"/>
    <n v="2759"/>
    <n v="1.625"/>
    <n v="1.3879999999999999"/>
    <n v="1.546"/>
    <n v="1.61"/>
    <n v="21411"/>
    <s v="07-48"/>
    <s v="27/02/2025"/>
    <n v="0.95"/>
    <n v="1.1879999999999999"/>
    <n v="1.625"/>
    <n v="27"/>
    <x v="1"/>
    <x v="18"/>
    <x v="1"/>
    <n v="568.75"/>
    <n v="485.79999999999995"/>
    <n v="541.1"/>
    <n v="563.5"/>
    <n v="568.75"/>
    <n v="0.92"/>
    <x v="0"/>
  </r>
  <r>
    <n v="63121"/>
    <n v="24036"/>
    <n v="7877"/>
    <n v="28448"/>
    <n v="2759"/>
    <n v="1.625"/>
    <n v="1.3879999999999999"/>
    <n v="1.446"/>
    <n v="1.61"/>
    <n v="21421"/>
    <s v="07-24"/>
    <s v="28/02/2025"/>
    <n v="0.93"/>
    <n v="1.1040000000000001"/>
    <n v="1.625"/>
    <n v="28"/>
    <x v="1"/>
    <x v="18"/>
    <x v="1"/>
    <n v="568.75"/>
    <n v="485.79999999999995"/>
    <n v="506.09999999999997"/>
    <n v="563.5"/>
    <n v="568.75"/>
    <n v="0.92"/>
    <x v="0"/>
  </r>
  <r>
    <n v="53150"/>
    <n v="24048"/>
    <n v="7882"/>
    <n v="28460"/>
    <n v="2759"/>
    <n v="0"/>
    <n v="0"/>
    <n v="1.3740000000000001"/>
    <n v="0"/>
    <n v="21432"/>
    <s v="07-17"/>
    <d v="2025-01-03T00:00:00"/>
    <n v="0.93"/>
    <n v="1.153"/>
    <n v="1.3740000000000001"/>
    <n v="3"/>
    <x v="0"/>
    <x v="0"/>
    <x v="0"/>
    <n v="0"/>
    <n v="0"/>
    <n v="480.90000000000003"/>
    <n v="0"/>
    <n v="480.90000000000003"/>
    <n v="0.92"/>
    <x v="0"/>
  </r>
  <r>
    <n v="63181"/>
    <n v="24048"/>
    <n v="7882"/>
    <n v="28485"/>
    <n v="2764"/>
    <n v="0"/>
    <n v="0"/>
    <n v="1.5129999999999999"/>
    <n v="1.4610000000000001"/>
    <n v="21443"/>
    <s v="07-08"/>
    <d v="2025-02-03T00:00:00"/>
    <n v="0.94"/>
    <n v="1.339"/>
    <n v="1.5129999999999999"/>
    <n v="3"/>
    <x v="1"/>
    <x v="5"/>
    <x v="1"/>
    <n v="0"/>
    <n v="0"/>
    <n v="529.54999999999995"/>
    <n v="511.35"/>
    <n v="529.54999999999995"/>
    <n v="0.92"/>
    <x v="0"/>
  </r>
  <r>
    <n v="63214"/>
    <n v="24051"/>
    <n v="7882"/>
    <n v="28511"/>
    <n v="2769"/>
    <n v="1.113"/>
    <n v="0"/>
    <n v="1.5129999999999999"/>
    <n v="1.5029999999999999"/>
    <n v="21457"/>
    <s v="09-36"/>
    <d v="2025-03-03T00:00:00"/>
    <n v="0.9"/>
    <n v="1.214"/>
    <n v="1.5129999999999999"/>
    <n v="3"/>
    <x v="2"/>
    <x v="6"/>
    <x v="2"/>
    <n v="389.55"/>
    <n v="0"/>
    <n v="529.54999999999995"/>
    <n v="526.04999999999995"/>
    <n v="529.54999999999995"/>
    <n v="0.92"/>
    <x v="0"/>
  </r>
  <r>
    <n v="63240"/>
    <n v="24061"/>
    <n v="7887"/>
    <n v="28522"/>
    <n v="2769"/>
    <n v="1.5409999999999999"/>
    <n v="1.2869999999999999"/>
    <n v="1.5129999999999999"/>
    <n v="1.5029999999999999"/>
    <n v="21468"/>
    <s v="07-08"/>
    <d v="2025-04-03T00:00:00"/>
    <n v="0.95"/>
    <n v="1.1759999999999999"/>
    <n v="1.5409999999999999"/>
    <n v="3"/>
    <x v="3"/>
    <x v="7"/>
    <x v="3"/>
    <n v="539.35"/>
    <n v="450.45"/>
    <n v="529.54999999999995"/>
    <n v="526.04999999999995"/>
    <n v="539.35"/>
    <n v="0.92"/>
    <x v="0"/>
  </r>
  <r>
    <n v="63279"/>
    <n v="24082"/>
    <n v="7892"/>
    <n v="28535"/>
    <n v="2769"/>
    <n v="1.5409999999999999"/>
    <n v="1.379"/>
    <n v="1.5129999999999999"/>
    <n v="1.5029999999999999"/>
    <n v="21982"/>
    <s v="15-13"/>
    <d v="2025-05-03T00:00:00"/>
    <n v="0.96"/>
    <n v="1.2869999999999999"/>
    <n v="1.5409999999999999"/>
    <n v="3"/>
    <x v="4"/>
    <x v="8"/>
    <x v="4"/>
    <n v="539.35"/>
    <n v="482.65"/>
    <n v="529.54999999999995"/>
    <n v="526.04999999999995"/>
    <n v="539.35"/>
    <n v="0.94"/>
    <x v="0"/>
  </r>
  <r>
    <n v="63299"/>
    <n v="24086"/>
    <n v="7896"/>
    <n v="28546"/>
    <n v="2769"/>
    <n v="1.5409999999999999"/>
    <n v="1.579"/>
    <n v="1.573"/>
    <n v="1.5029999999999999"/>
    <n v="21489"/>
    <s v="07-30"/>
    <d v="2025-06-03T00:00:00"/>
    <n v="0.93"/>
    <n v="1.0740000000000001"/>
    <n v="1.579"/>
    <n v="3"/>
    <x v="5"/>
    <x v="9"/>
    <x v="5"/>
    <n v="539.35"/>
    <n v="552.65"/>
    <n v="550.54999999999995"/>
    <n v="526.04999999999995"/>
    <n v="552.65"/>
    <n v="0.94"/>
    <x v="0"/>
  </r>
  <r>
    <n v="63330"/>
    <n v="24099"/>
    <n v="7902"/>
    <n v="28559"/>
    <n v="2769"/>
    <n v="1.5409999999999999"/>
    <n v="1.4239999999999999"/>
    <n v="1.573"/>
    <n v="1.5029999999999999"/>
    <n v="21500"/>
    <s v="07-30"/>
    <d v="2025-07-03T00:00:00"/>
    <n v="0.94"/>
    <n v="1.37"/>
    <n v="1.573"/>
    <n v="3"/>
    <x v="6"/>
    <x v="10"/>
    <x v="6"/>
    <n v="539.35"/>
    <n v="498.4"/>
    <n v="550.54999999999995"/>
    <n v="526.04999999999995"/>
    <n v="550.54999999999995"/>
    <n v="0.94"/>
    <x v="0"/>
  </r>
  <r>
    <n v="63362"/>
    <n v="24113"/>
    <n v="7907"/>
    <n v="28571"/>
    <n v="2769"/>
    <n v="1.5409999999999999"/>
    <n v="1.4410000000000001"/>
    <n v="1.5129999999999999"/>
    <n v="1.5029999999999999"/>
    <n v="21512"/>
    <s v="07-30"/>
    <d v="2025-08-03T00:00:00"/>
    <n v="0.92"/>
    <n v="1.3819999999999999"/>
    <n v="1.5409999999999999"/>
    <n v="3"/>
    <x v="7"/>
    <x v="19"/>
    <x v="7"/>
    <n v="539.35"/>
    <n v="504.35"/>
    <n v="529.54999999999995"/>
    <n v="526.04999999999995"/>
    <n v="539.35"/>
    <n v="0.94"/>
    <x v="0"/>
  </r>
  <r>
    <n v="63393"/>
    <n v="24113"/>
    <n v="7907"/>
    <n v="28598"/>
    <n v="2774"/>
    <n v="1.5409999999999999"/>
    <n v="1.4410000000000001"/>
    <n v="1.5129999999999999"/>
    <n v="1.5029999999999999"/>
    <n v="21524"/>
    <s v="08-25"/>
    <d v="2025-09-03T00:00:00"/>
    <n v="0.94"/>
    <n v="1.157"/>
    <n v="1.5409999999999999"/>
    <n v="3"/>
    <x v="8"/>
    <x v="12"/>
    <x v="8"/>
    <n v="539.35"/>
    <n v="504.35"/>
    <n v="529.54999999999995"/>
    <n v="526.04999999999995"/>
    <n v="539.35"/>
    <n v="0.94"/>
    <x v="0"/>
  </r>
  <r>
    <n v="63428"/>
    <n v="24116"/>
    <n v="7907"/>
    <n v="28624"/>
    <n v="2779"/>
    <n v="1.5409999999999999"/>
    <n v="1.4410000000000001"/>
    <n v="1.5129999999999999"/>
    <n v="1.5029999999999999"/>
    <n v="21537"/>
    <s v="10-03"/>
    <d v="2025-10-03T00:00:00"/>
    <n v="0.93"/>
    <n v="1.335"/>
    <n v="1.5409999999999999"/>
    <n v="3"/>
    <x v="9"/>
    <x v="13"/>
    <x v="9"/>
    <n v="539.35"/>
    <n v="504.35"/>
    <n v="529.54999999999995"/>
    <n v="526.04999999999995"/>
    <n v="539.35"/>
    <n v="0.94"/>
    <x v="0"/>
  </r>
  <r>
    <n v="63455"/>
    <n v="24127"/>
    <n v="7912"/>
    <n v="28636"/>
    <n v="2779"/>
    <n v="1.5409999999999999"/>
    <n v="1.4410000000000001"/>
    <n v="1.5129999999999999"/>
    <n v="1.5029999999999999"/>
    <n v="21548"/>
    <s v="05-32"/>
    <d v="2025-11-03T00:00:00"/>
    <n v="0.93"/>
    <n v="1.1779999999999999"/>
    <n v="1.5409999999999999"/>
    <n v="3"/>
    <x v="10"/>
    <x v="14"/>
    <x v="10"/>
    <n v="539.35"/>
    <n v="504.35"/>
    <n v="529.54999999999995"/>
    <n v="526.04999999999995"/>
    <n v="539.35"/>
    <n v="0.94"/>
    <x v="0"/>
  </r>
  <r>
    <n v="63485"/>
    <n v="24139"/>
    <n v="7917"/>
    <n v="28647"/>
    <n v="2779"/>
    <n v="1.5409999999999999"/>
    <n v="1.456"/>
    <n v="1.5129999999999999"/>
    <n v="1.5029999999999999"/>
    <n v="21559"/>
    <s v="07-15"/>
    <d v="2025-12-03T00:00:00"/>
    <n v="0.94"/>
    <n v="1.0289999999999999"/>
    <n v="1.5409999999999999"/>
    <n v="3"/>
    <x v="11"/>
    <x v="15"/>
    <x v="11"/>
    <n v="539.35"/>
    <n v="509.59999999999997"/>
    <n v="529.54999999999995"/>
    <n v="526.04999999999995"/>
    <n v="539.35"/>
    <n v="0.94"/>
    <x v="0"/>
  </r>
  <r>
    <n v="63516"/>
    <n v="24153"/>
    <n v="7922"/>
    <n v="28660"/>
    <n v="2779"/>
    <n v="1.5409999999999999"/>
    <n v="1.456"/>
    <n v="1.5129999999999999"/>
    <n v="1.5029999999999999"/>
    <n v="21570"/>
    <s v="07-32"/>
    <s v="13/03/2025"/>
    <n v="0.94"/>
    <n v="1.4710000000000001"/>
    <n v="1.5409999999999999"/>
    <n v="13"/>
    <x v="2"/>
    <x v="20"/>
    <x v="2"/>
    <n v="539.35"/>
    <n v="509.59999999999997"/>
    <n v="529.54999999999995"/>
    <n v="526.04999999999995"/>
    <n v="539.35"/>
    <n v="0.92"/>
    <x v="0"/>
  </r>
  <r>
    <n v="63547"/>
    <n v="24166"/>
    <n v="7928"/>
    <n v="28672"/>
    <n v="2779"/>
    <n v="1.5409999999999999"/>
    <n v="1.456"/>
    <n v="1.5129999999999999"/>
    <n v="1.5029999999999999"/>
    <n v="21582"/>
    <s v="07-35"/>
    <s v="14/03/2025"/>
    <n v="0.94"/>
    <n v="1.47"/>
    <n v="1.5409999999999999"/>
    <n v="14"/>
    <x v="2"/>
    <x v="20"/>
    <x v="2"/>
    <n v="539.35"/>
    <n v="509.59999999999997"/>
    <n v="529.54999999999995"/>
    <n v="526.04999999999995"/>
    <n v="539.35"/>
    <n v="0.92"/>
    <x v="0"/>
  </r>
  <r>
    <n v="63579"/>
    <n v="24180"/>
    <n v="7933"/>
    <n v="28682"/>
    <n v="2779"/>
    <n v="1.5409999999999999"/>
    <n v="1.5509999999999999"/>
    <n v="1.5129999999999999"/>
    <n v="1.5029999999999999"/>
    <n v="21594"/>
    <s v="07-20"/>
    <s v="15/03/2025"/>
    <n v="0.91"/>
    <n v="1.2350000000000001"/>
    <n v="1.5509999999999999"/>
    <n v="15"/>
    <x v="2"/>
    <x v="20"/>
    <x v="2"/>
    <n v="539.35"/>
    <n v="542.85"/>
    <n v="529.54999999999995"/>
    <n v="526.04999999999995"/>
    <n v="542.85"/>
    <n v="0.92"/>
    <x v="0"/>
  </r>
  <r>
    <n v="63611"/>
    <n v="24180"/>
    <n v="7933"/>
    <n v="28712"/>
    <n v="2785"/>
    <n v="1.5409999999999999"/>
    <n v="1.5509999999999999"/>
    <n v="1.615"/>
    <n v="1.5029999999999999"/>
    <n v="21606"/>
    <s v="07-20"/>
    <s v="16/03/2025"/>
    <n v="0.92"/>
    <n v="1.1659999999999999"/>
    <n v="1.615"/>
    <n v="16"/>
    <x v="2"/>
    <x v="21"/>
    <x v="2"/>
    <n v="539.35"/>
    <n v="542.85"/>
    <n v="565.25"/>
    <n v="526.04999999999995"/>
    <n v="565.25"/>
    <n v="0.92"/>
    <x v="0"/>
  </r>
  <r>
    <n v="63692"/>
    <n v="24180"/>
    <n v="7933"/>
    <n v="28738"/>
    <n v="2790"/>
    <n v="1.5409999999999999"/>
    <n v="1.5509999999999999"/>
    <n v="1.615"/>
    <n v="1.5029999999999999"/>
    <n v="21618"/>
    <s v="07-26"/>
    <s v="17/03/2025"/>
    <n v="0.94"/>
    <n v="1.1439999999999999"/>
    <n v="1.615"/>
    <n v="17"/>
    <x v="2"/>
    <x v="21"/>
    <x v="2"/>
    <n v="539.35"/>
    <n v="542.85"/>
    <n v="565.25"/>
    <n v="526.04999999999995"/>
    <n v="565.25"/>
    <n v="0.92"/>
    <x v="0"/>
  </r>
  <r>
    <n v="63673"/>
    <n v="24193"/>
    <n v="7938"/>
    <n v="28750"/>
    <n v="2790"/>
    <n v="1.5409999999999999"/>
    <n v="1.5509999999999999"/>
    <n v="1.615"/>
    <n v="1.5029999999999999"/>
    <n v="21629"/>
    <s v="07-15"/>
    <s v="18/03/2025"/>
    <n v="0.93"/>
    <n v="1.216"/>
    <n v="1.615"/>
    <n v="18"/>
    <x v="2"/>
    <x v="21"/>
    <x v="2"/>
    <n v="539.35"/>
    <n v="542.85"/>
    <n v="565.25"/>
    <n v="526.04999999999995"/>
    <n v="565.25"/>
    <n v="0.92"/>
    <x v="0"/>
  </r>
  <r>
    <n v="63705"/>
    <n v="24207"/>
    <n v="7944"/>
    <n v="28762"/>
    <n v="2790"/>
    <n v="1.569"/>
    <n v="1.5509999999999999"/>
    <n v="1.615"/>
    <n v="1.5029999999999999"/>
    <n v="21641"/>
    <s v="07-10"/>
    <s v="19/03/2025"/>
    <n v="0.92"/>
    <n v="1.2669999999999999"/>
    <n v="1.615"/>
    <n v="19"/>
    <x v="2"/>
    <x v="21"/>
    <x v="2"/>
    <n v="549.15"/>
    <n v="542.85"/>
    <n v="565.25"/>
    <n v="526.04999999999995"/>
    <n v="565.25"/>
    <n v="0.92"/>
    <x v="0"/>
  </r>
  <r>
    <n v="63736"/>
    <n v="24221"/>
    <n v="7949"/>
    <n v="28775"/>
    <n v="2790"/>
    <n v="1.569"/>
    <n v="1.554"/>
    <n v="1.615"/>
    <n v="1.5029999999999999"/>
    <n v="21653"/>
    <s v="06-56"/>
    <s v="20/03/2025"/>
    <n v="0.91"/>
    <n v="1.367"/>
    <n v="1.615"/>
    <n v="20"/>
    <x v="2"/>
    <x v="21"/>
    <x v="2"/>
    <n v="549.15"/>
    <n v="543.9"/>
    <n v="565.25"/>
    <n v="526.04999999999995"/>
    <n v="565.25"/>
    <n v="0.92"/>
    <x v="0"/>
  </r>
  <r>
    <n v="63768"/>
    <n v="24234"/>
    <n v="7954"/>
    <n v="28788"/>
    <n v="2790"/>
    <n v="1.569"/>
    <n v="1.5509999999999999"/>
    <n v="1.615"/>
    <n v="1.5029999999999999"/>
    <n v="21666"/>
    <s v="07-10"/>
    <s v="21/03/2025"/>
    <n v="0.92"/>
    <n v="1.3320000000000001"/>
    <n v="1.615"/>
    <n v="21"/>
    <x v="2"/>
    <x v="21"/>
    <x v="2"/>
    <n v="549.15"/>
    <n v="542.85"/>
    <n v="565.25"/>
    <n v="526.04999999999995"/>
    <n v="565.25"/>
    <n v="0.92"/>
    <x v="0"/>
  </r>
  <r>
    <n v="63800"/>
    <n v="24248"/>
    <n v="7960"/>
    <n v="28801"/>
    <n v="2790"/>
    <n v="1.569"/>
    <n v="1.5509999999999999"/>
    <n v="1.615"/>
    <n v="1.5029999999999999"/>
    <n v="21670"/>
    <s v="07-15"/>
    <s v="22/03/2025"/>
    <n v="0.93"/>
    <n v="1.2350000000000001"/>
    <n v="1.615"/>
    <n v="22"/>
    <x v="2"/>
    <x v="21"/>
    <x v="2"/>
    <n v="549.15"/>
    <n v="542.85"/>
    <n v="565.25"/>
    <n v="526.04999999999995"/>
    <n v="565.25"/>
    <n v="0.92"/>
    <x v="0"/>
  </r>
  <r>
    <n v="63831"/>
    <n v="24248"/>
    <n v="7960"/>
    <n v="28827"/>
    <n v="2795"/>
    <n v="1.569"/>
    <n v="1.5509999999999999"/>
    <n v="1.615"/>
    <n v="1.5029999999999999"/>
    <n v="21690"/>
    <s v="07-18"/>
    <s v="23/03/2025"/>
    <n v="0.92"/>
    <n v="1.107"/>
    <n v="1.615"/>
    <n v="23"/>
    <x v="2"/>
    <x v="22"/>
    <x v="2"/>
    <n v="549.15"/>
    <n v="542.85"/>
    <n v="565.25"/>
    <n v="526.04999999999995"/>
    <n v="565.25"/>
    <n v="0.92"/>
    <x v="0"/>
  </r>
  <r>
    <n v="63860"/>
    <n v="24249"/>
    <n v="7960"/>
    <n v="28854"/>
    <n v="2801"/>
    <n v="1.569"/>
    <n v="1.5509999999999999"/>
    <n v="1.615"/>
    <n v="1.5029999999999999"/>
    <n v="21703"/>
    <s v="08-33"/>
    <s v="24/03/2025"/>
    <n v="0.92"/>
    <n v="1.262"/>
    <n v="1.615"/>
    <n v="24"/>
    <x v="2"/>
    <x v="22"/>
    <x v="2"/>
    <n v="549.15"/>
    <n v="542.85"/>
    <n v="565.25"/>
    <n v="526.04999999999995"/>
    <n v="565.25"/>
    <n v="0.92"/>
    <x v="0"/>
  </r>
  <r>
    <n v="63894"/>
    <n v="24261"/>
    <n v="7965"/>
    <n v="28866"/>
    <n v="2801"/>
    <n v="1.569"/>
    <n v="1.5509999999999999"/>
    <n v="1.615"/>
    <n v="1.5029999999999999"/>
    <n v="21714"/>
    <s v="07-12"/>
    <s v="25/03/2025"/>
    <n v="0.92"/>
    <n v="1.2569999999999999"/>
    <n v="1.615"/>
    <n v="25"/>
    <x v="2"/>
    <x v="22"/>
    <x v="2"/>
    <n v="549.15"/>
    <n v="542.85"/>
    <n v="565.25"/>
    <n v="526.04999999999995"/>
    <n v="565.25"/>
    <n v="0.92"/>
    <x v="0"/>
  </r>
  <r>
    <n v="63926"/>
    <n v="24275"/>
    <n v="7970"/>
    <n v="28879"/>
    <n v="2801"/>
    <n v="1.569"/>
    <n v="1.5509999999999999"/>
    <n v="1.615"/>
    <n v="1.5029999999999999"/>
    <n v="21728"/>
    <s v="07-51"/>
    <s v="26/03/2025"/>
    <n v="0.89"/>
    <n v="1.212"/>
    <n v="1.615"/>
    <n v="26"/>
    <x v="2"/>
    <x v="22"/>
    <x v="2"/>
    <n v="549.15"/>
    <n v="542.85"/>
    <n v="565.25"/>
    <n v="526.04999999999995"/>
    <n v="565.25"/>
    <n v="0.92"/>
    <x v="0"/>
  </r>
  <r>
    <n v="63956"/>
    <n v="24288"/>
    <n v="7976"/>
    <n v="28890"/>
    <n v="2801"/>
    <n v="1.569"/>
    <n v="1.5509999999999999"/>
    <n v="1.615"/>
    <n v="1.5029999999999999"/>
    <n v="21792"/>
    <s v="07-17"/>
    <s v="27/03/2025"/>
    <n v="0.9"/>
    <n v="1.1160000000000001"/>
    <n v="1.615"/>
    <n v="27"/>
    <x v="2"/>
    <x v="22"/>
    <x v="2"/>
    <n v="549.15"/>
    <n v="542.85"/>
    <n v="565.25"/>
    <n v="526.04999999999995"/>
    <n v="565.25"/>
    <n v="0.92"/>
    <x v="0"/>
  </r>
  <r>
    <n v="63987"/>
    <n v="24301"/>
    <n v="7981"/>
    <n v="28903"/>
    <n v="2801"/>
    <n v="1.569"/>
    <n v="1.5509999999999999"/>
    <n v="1.615"/>
    <n v="1.5029999999999999"/>
    <n v="21754"/>
    <s v="07-30"/>
    <s v="28/03/2025"/>
    <n v="0.95"/>
    <n v="1.1579999999999999"/>
    <n v="1.615"/>
    <n v="28"/>
    <x v="2"/>
    <x v="22"/>
    <x v="2"/>
    <n v="549.15"/>
    <n v="542.85"/>
    <n v="565.25"/>
    <n v="526.04999999999995"/>
    <n v="565.25"/>
    <n v="0.92"/>
    <x v="0"/>
  </r>
  <r>
    <n v="64012"/>
    <n v="24309"/>
    <n v="7983"/>
    <n v="28929"/>
    <n v="2806"/>
    <n v="1.569"/>
    <n v="1.5509999999999999"/>
    <n v="1.615"/>
    <n v="1.5029999999999999"/>
    <n v="21779"/>
    <s v="07-15"/>
    <s v="29/03/2025"/>
    <n v="0.95"/>
    <n v="1.153"/>
    <n v="1.615"/>
    <n v="29"/>
    <x v="2"/>
    <x v="22"/>
    <x v="2"/>
    <n v="549.15"/>
    <n v="542.85"/>
    <n v="565.25"/>
    <n v="526.04999999999995"/>
    <n v="565.25"/>
    <n v="0.92"/>
    <x v="0"/>
  </r>
  <r>
    <n v="64003"/>
    <n v="24315"/>
    <n v="7986"/>
    <n v="28951"/>
    <n v="2806"/>
    <n v="1.569"/>
    <n v="1.5509999999999999"/>
    <n v="1.615"/>
    <n v="1.5029999999999999"/>
    <n v="21779"/>
    <s v="11-45"/>
    <s v="30/03/2025"/>
    <n v="0.95"/>
    <n v="1.153"/>
    <n v="1.615"/>
    <n v="30"/>
    <x v="2"/>
    <x v="7"/>
    <x v="2"/>
    <n v="549.15"/>
    <n v="542.85"/>
    <n v="565.25"/>
    <n v="526.04999999999995"/>
    <n v="565.25"/>
    <n v="0.92"/>
    <x v="0"/>
  </r>
  <r>
    <n v="64077"/>
    <n v="24315"/>
    <n v="7986"/>
    <n v="28964"/>
    <n v="2811"/>
    <n v="1.569"/>
    <n v="1.5509999999999999"/>
    <n v="1.615"/>
    <n v="1.5029999999999999"/>
    <n v="21785"/>
    <s v="07-41"/>
    <s v="31/03/2025"/>
    <n v="0.92"/>
    <n v="1.1719999999999999"/>
    <n v="1.615"/>
    <n v="31"/>
    <x v="2"/>
    <x v="7"/>
    <x v="2"/>
    <n v="549.15"/>
    <n v="542.85"/>
    <n v="565.25"/>
    <n v="526.04999999999995"/>
    <n v="565.25"/>
    <n v="0.92"/>
    <x v="0"/>
  </r>
  <r>
    <n v="64110"/>
    <n v="24330"/>
    <n v="7991"/>
    <n v="28976"/>
    <n v="2811"/>
    <n v="1.353"/>
    <n v="0"/>
    <n v="1.381"/>
    <n v="0"/>
    <n v="21797"/>
    <s v="09-55"/>
    <d v="2025-01-04T00:00:00"/>
    <n v="0.93"/>
    <n v="1.331"/>
    <n v="1.381"/>
    <n v="4"/>
    <x v="0"/>
    <x v="0"/>
    <x v="0"/>
    <n v="473.55"/>
    <n v="0"/>
    <n v="483.35"/>
    <n v="0"/>
    <n v="483.35"/>
    <n v="0.92"/>
    <x v="0"/>
  </r>
  <r>
    <n v="64141"/>
    <n v="24344"/>
    <n v="7996"/>
    <n v="28988"/>
    <n v="2811"/>
    <n v="1.4630000000000001"/>
    <n v="1.39"/>
    <n v="1.3859999999999999"/>
    <n v="0"/>
    <n v="21808"/>
    <s v="10-32"/>
    <d v="2025-02-04T00:00:00"/>
    <n v="0.64"/>
    <n v="1.5"/>
    <n v="1.4630000000000001"/>
    <n v="4"/>
    <x v="1"/>
    <x v="5"/>
    <x v="1"/>
    <n v="512.05000000000007"/>
    <n v="486.49999999999994"/>
    <n v="485.09999999999997"/>
    <n v="0"/>
    <n v="512.05000000000007"/>
    <n v="0.92"/>
    <x v="0"/>
  </r>
  <r>
    <n v="64167"/>
    <n v="24354"/>
    <n v="8001"/>
    <n v="29000"/>
    <n v="2811"/>
    <n v="1.486"/>
    <n v="1.393"/>
    <n v="1.3859999999999999"/>
    <n v="0"/>
    <n v="21816"/>
    <s v="07-42"/>
    <d v="2025-03-04T00:00:00"/>
    <n v="0.94"/>
    <n v="1.1859999999999999"/>
    <n v="1.486"/>
    <n v="4"/>
    <x v="2"/>
    <x v="6"/>
    <x v="2"/>
    <n v="520.1"/>
    <n v="487.55"/>
    <n v="485.09999999999997"/>
    <n v="0"/>
    <n v="520.1"/>
    <n v="0.92"/>
    <x v="0"/>
  </r>
  <r>
    <n v="64197"/>
    <n v="24367"/>
    <n v="8007"/>
    <n v="29011"/>
    <n v="2811"/>
    <n v="1.5009999999999999"/>
    <n v="1.4910000000000001"/>
    <n v="1.3859999999999999"/>
    <n v="0"/>
    <n v="21825"/>
    <s v="06-56"/>
    <d v="2025-04-04T00:00:00"/>
    <n v="0.94"/>
    <n v="1.3440000000000001"/>
    <n v="1.5009999999999999"/>
    <n v="4"/>
    <x v="3"/>
    <x v="7"/>
    <x v="3"/>
    <n v="525.34999999999991"/>
    <n v="521.85"/>
    <n v="485.09999999999997"/>
    <n v="0"/>
    <n v="525.34999999999991"/>
    <n v="0.92"/>
    <x v="0"/>
  </r>
  <r>
    <n v="64230"/>
    <n v="24381"/>
    <n v="8012"/>
    <n v="29026"/>
    <n v="2811"/>
    <n v="1.5009999999999999"/>
    <n v="1.4910000000000001"/>
    <n v="1.4079999999999999"/>
    <n v="0"/>
    <n v="21836"/>
    <s v="08-54"/>
    <d v="2025-05-04T00:00:00"/>
    <n v="0.94"/>
    <n v="1.21"/>
    <n v="1.5009999999999999"/>
    <n v="4"/>
    <x v="4"/>
    <x v="23"/>
    <x v="4"/>
    <n v="525.34999999999991"/>
    <n v="521.85"/>
    <n v="492.79999999999995"/>
    <n v="0"/>
    <n v="525.34999999999991"/>
    <n v="0.94"/>
    <x v="0"/>
  </r>
  <r>
    <n v="64261"/>
    <n v="24381"/>
    <n v="8012"/>
    <n v="29051"/>
    <n v="2816"/>
    <n v="1.5009999999999999"/>
    <n v="1.4910000000000001"/>
    <n v="1.5049999999999999"/>
    <n v="1.45"/>
    <n v="21845"/>
    <s v="09-06"/>
    <d v="2025-06-04T00:00:00"/>
    <n v="0.95"/>
    <n v="1.26"/>
    <n v="1.5049999999999999"/>
    <n v="4"/>
    <x v="5"/>
    <x v="9"/>
    <x v="5"/>
    <n v="525.34999999999991"/>
    <n v="521.85"/>
    <n v="526.75"/>
    <n v="507.5"/>
    <n v="526.75"/>
    <n v="0.94"/>
    <x v="0"/>
  </r>
  <r>
    <n v="64287"/>
    <n v="24381"/>
    <n v="8012"/>
    <n v="29073"/>
    <n v="2820"/>
    <n v="1.5009999999999999"/>
    <n v="1.4910000000000001"/>
    <n v="1.508"/>
    <n v="1.45"/>
    <n v="21852"/>
    <s v="07-04"/>
    <d v="2025-07-04T00:00:00"/>
    <n v="0.96"/>
    <n v="1.056"/>
    <n v="1.508"/>
    <n v="4"/>
    <x v="6"/>
    <x v="10"/>
    <x v="6"/>
    <n v="525.34999999999991"/>
    <n v="521.85"/>
    <n v="527.79999999999995"/>
    <n v="507.5"/>
    <n v="527.79999999999995"/>
    <n v="0.94"/>
    <x v="0"/>
  </r>
  <r>
    <n v="64321"/>
    <n v="24397"/>
    <n v="8017"/>
    <n v="29086"/>
    <n v="2820"/>
    <n v="1.5009999999999999"/>
    <n v="1.4910000000000001"/>
    <n v="1.508"/>
    <n v="1.45"/>
    <n v="21861"/>
    <s v="10-59"/>
    <d v="2025-08-04T00:00:00"/>
    <n v="0.95"/>
    <n v="1.448"/>
    <n v="1.508"/>
    <n v="4"/>
    <x v="7"/>
    <x v="19"/>
    <x v="7"/>
    <n v="525.34999999999991"/>
    <n v="521.85"/>
    <n v="527.79999999999995"/>
    <n v="507.5"/>
    <n v="527.79999999999995"/>
    <n v="0.94"/>
    <x v="0"/>
  </r>
  <r>
    <n v="64346"/>
    <n v="24406"/>
    <n v="8022"/>
    <n v="29096"/>
    <n v="2820"/>
    <n v="1.5009999999999999"/>
    <n v="1.4910000000000001"/>
    <n v="1.508"/>
    <n v="1.45"/>
    <n v="21868"/>
    <s v="07-15"/>
    <d v="2025-09-04T00:00:00"/>
    <n v="0.96"/>
    <n v="1.706"/>
    <n v="1.508"/>
    <n v="4"/>
    <x v="8"/>
    <x v="12"/>
    <x v="8"/>
    <n v="525.34999999999991"/>
    <n v="521.85"/>
    <n v="527.79999999999995"/>
    <n v="507.5"/>
    <n v="527.79999999999995"/>
    <n v="0.94"/>
    <x v="0"/>
  </r>
  <r>
    <n v="64376"/>
    <n v="24419"/>
    <n v="8027"/>
    <n v="29108"/>
    <n v="2820"/>
    <n v="1.5009999999999999"/>
    <n v="1.4910000000000001"/>
    <n v="1.508"/>
    <n v="1.45"/>
    <n v="21877"/>
    <s v="07-41"/>
    <d v="2025-10-04T00:00:00"/>
    <n v="0.94"/>
    <n v="1.1970000000000001"/>
    <n v="1.508"/>
    <n v="4"/>
    <x v="9"/>
    <x v="13"/>
    <x v="9"/>
    <n v="525.34999999999991"/>
    <n v="521.85"/>
    <n v="527.79999999999995"/>
    <n v="507.5"/>
    <n v="527.79999999999995"/>
    <n v="0.94"/>
    <x v="0"/>
  </r>
  <r>
    <n v="64409"/>
    <n v="24435"/>
    <n v="8032"/>
    <n v="29120"/>
    <n v="2820"/>
    <n v="1.5009999999999999"/>
    <n v="1.4910000000000001"/>
    <n v="1.508"/>
    <n v="1.45"/>
    <n v="21886"/>
    <s v="11-00"/>
    <d v="2025-11-04T00:00:00"/>
    <n v="0.96"/>
    <n v="1.3420000000000001"/>
    <n v="1.508"/>
    <n v="4"/>
    <x v="10"/>
    <x v="14"/>
    <x v="10"/>
    <n v="525.34999999999991"/>
    <n v="521.85"/>
    <n v="527.79999999999995"/>
    <n v="507.5"/>
    <n v="527.79999999999995"/>
    <n v="0.94"/>
    <x v="0"/>
  </r>
  <r>
    <n v="64432"/>
    <n v="24443"/>
    <n v="8036"/>
    <n v="29131"/>
    <n v="2820"/>
    <n v="1.5009999999999999"/>
    <n v="1.4910000000000001"/>
    <n v="1.508"/>
    <n v="1.45"/>
    <n v="21892"/>
    <s v="07-28"/>
    <d v="2025-12-04T00:00:00"/>
    <n v="0.96"/>
    <n v="1.069"/>
    <n v="1.508"/>
    <n v="4"/>
    <x v="11"/>
    <x v="15"/>
    <x v="11"/>
    <n v="525.34999999999991"/>
    <n v="521.85"/>
    <n v="527.79999999999995"/>
    <n v="507.5"/>
    <n v="527.79999999999995"/>
    <n v="0.94"/>
    <x v="0"/>
  </r>
  <r>
    <n v="64450"/>
    <n v="24444"/>
    <n v="8036"/>
    <n v="29150"/>
    <n v="2825"/>
    <n v="1.5009999999999999"/>
    <n v="1.4910000000000001"/>
    <n v="1.508"/>
    <n v="1.45"/>
    <n v="21900"/>
    <s v="08-00"/>
    <s v="13/04/2025"/>
    <n v="0.96"/>
    <n v="1.1559999999999999"/>
    <n v="1.508"/>
    <n v="13"/>
    <x v="3"/>
    <x v="24"/>
    <x v="3"/>
    <n v="525.34999999999991"/>
    <n v="521.85"/>
    <n v="527.79999999999995"/>
    <n v="507.5"/>
    <n v="527.79999999999995"/>
    <n v="0.92"/>
    <x v="0"/>
  </r>
  <r>
    <n v="64491"/>
    <n v="24445"/>
    <n v="8036"/>
    <n v="29178"/>
    <n v="2830"/>
    <n v="1.5009999999999999"/>
    <n v="1.4910000000000001"/>
    <n v="1.508"/>
    <n v="1.45"/>
    <n v="21909"/>
    <s v="09-34"/>
    <s v="14/04/2025"/>
    <n v="0.96"/>
    <n v="1.157"/>
    <n v="1.508"/>
    <n v="14"/>
    <x v="3"/>
    <x v="24"/>
    <x v="3"/>
    <n v="525.34999999999991"/>
    <n v="521.85"/>
    <n v="527.79999999999995"/>
    <n v="507.5"/>
    <n v="527.79999999999995"/>
    <n v="0.92"/>
    <x v="0"/>
  </r>
  <r>
    <n v="69518"/>
    <n v="24455"/>
    <n v="8041"/>
    <n v="29190"/>
    <n v="2830"/>
    <n v="1.5009999999999999"/>
    <n v="1.5009999999999999"/>
    <n v="1.508"/>
    <n v="1.45"/>
    <n v="21916"/>
    <s v="08-16"/>
    <s v="15/04/2025"/>
    <n v="0.96"/>
    <n v="1.0309999999999999"/>
    <n v="1.508"/>
    <n v="15"/>
    <x v="3"/>
    <x v="24"/>
    <x v="3"/>
    <n v="525.34999999999991"/>
    <n v="525.34999999999991"/>
    <n v="527.79999999999995"/>
    <n v="507.5"/>
    <n v="527.79999999999995"/>
    <n v="0.92"/>
    <x v="0"/>
  </r>
  <r>
    <n v="64545"/>
    <n v="24467"/>
    <n v="8046"/>
    <n v="29200"/>
    <n v="2830"/>
    <n v="1.5009999999999999"/>
    <n v="1.4910000000000001"/>
    <n v="1.508"/>
    <n v="1.45"/>
    <n v="21923"/>
    <s v="07-05"/>
    <s v="16/04/2025"/>
    <n v="0.96"/>
    <n v="0"/>
    <n v="1.508"/>
    <n v="16"/>
    <x v="3"/>
    <x v="24"/>
    <x v="3"/>
    <n v="525.34999999999991"/>
    <n v="521.85"/>
    <n v="527.79999999999995"/>
    <n v="507.5"/>
    <n v="527.79999999999995"/>
    <n v="0.92"/>
    <x v="0"/>
  </r>
  <r>
    <n v="64580"/>
    <n v="24486"/>
    <n v="8051"/>
    <n v="29212"/>
    <n v="2830"/>
    <n v="1.5009999999999999"/>
    <n v="1.4910000000000001"/>
    <n v="1.508"/>
    <n v="1.45"/>
    <n v="21933"/>
    <s v="14-03"/>
    <s v="17/04/2025"/>
    <n v="0.94"/>
    <n v="1.214"/>
    <n v="1.508"/>
    <n v="17"/>
    <x v="3"/>
    <x v="24"/>
    <x v="3"/>
    <n v="525.34999999999991"/>
    <n v="521.85"/>
    <n v="527.79999999999995"/>
    <n v="507.5"/>
    <n v="527.79999999999995"/>
    <n v="0.92"/>
    <x v="0"/>
  </r>
  <r>
    <n v="64603"/>
    <n v="24492"/>
    <n v="8056"/>
    <n v="29223"/>
    <n v="2830"/>
    <n v="1.5009999999999999"/>
    <n v="1.4910000000000001"/>
    <n v="1.508"/>
    <n v="1.45"/>
    <n v="21939"/>
    <s v="09-12"/>
    <s v="18/04/2025"/>
    <n v="0.96"/>
    <n v="1.06"/>
    <n v="1.508"/>
    <n v="18"/>
    <x v="3"/>
    <x v="24"/>
    <x v="3"/>
    <n v="525.34999999999991"/>
    <n v="521.85"/>
    <n v="527.79999999999995"/>
    <n v="507.5"/>
    <n v="527.79999999999995"/>
    <n v="0.92"/>
    <x v="0"/>
  </r>
  <r>
    <n v="64631"/>
    <n v="24504"/>
    <n v="8061"/>
    <n v="29235"/>
    <n v="2830"/>
    <n v="1.5009999999999999"/>
    <n v="1.4910000000000001"/>
    <n v="1.508"/>
    <n v="1.45"/>
    <n v="21947"/>
    <s v="08-15"/>
    <s v="19/04/2025"/>
    <n v="0.94"/>
    <n v="1.2150000000000001"/>
    <n v="1.508"/>
    <n v="19"/>
    <x v="3"/>
    <x v="24"/>
    <x v="3"/>
    <n v="525.34999999999991"/>
    <n v="521.85"/>
    <n v="527.79999999999995"/>
    <n v="507.5"/>
    <n v="527.79999999999995"/>
    <n v="0.92"/>
    <x v="0"/>
  </r>
  <r>
    <n v="64663"/>
    <n v="24504"/>
    <n v="8061"/>
    <n v="29262"/>
    <n v="2835"/>
    <n v="1.5009999999999999"/>
    <n v="1.4910000000000001"/>
    <n v="1.508"/>
    <n v="1.45"/>
    <n v="21957"/>
    <s v="10-22"/>
    <s v="20/04/2025"/>
    <n v="0.95"/>
    <n v="1.18"/>
    <n v="1.508"/>
    <n v="20"/>
    <x v="3"/>
    <x v="25"/>
    <x v="3"/>
    <n v="525.34999999999991"/>
    <n v="521.85"/>
    <n v="527.79999999999995"/>
    <n v="507.5"/>
    <n v="527.79999999999995"/>
    <n v="0.92"/>
    <x v="0"/>
  </r>
  <r>
    <n v="64688"/>
    <n v="24504"/>
    <n v="8061"/>
    <n v="29283"/>
    <n v="2839"/>
    <n v="1.5009999999999999"/>
    <n v="1.4910000000000001"/>
    <n v="1.508"/>
    <n v="1.45"/>
    <n v="21964"/>
    <s v="07-36"/>
    <s v="21/04/2025"/>
    <n v="0.97"/>
    <n v="1.03"/>
    <n v="1.508"/>
    <n v="21"/>
    <x v="3"/>
    <x v="25"/>
    <x v="3"/>
    <n v="525.34999999999991"/>
    <n v="521.85"/>
    <n v="527.79999999999995"/>
    <n v="507.5"/>
    <n v="527.79999999999995"/>
    <n v="0.92"/>
    <x v="0"/>
  </r>
  <r>
    <n v="64724"/>
    <n v="24522"/>
    <n v="8066"/>
    <n v="29293"/>
    <n v="2839"/>
    <n v="1.5009999999999999"/>
    <n v="1.4910000000000001"/>
    <n v="1.508"/>
    <n v="1.45"/>
    <n v="21974"/>
    <s v="13-00"/>
    <s v="22/04/2025"/>
    <n v="0.99"/>
    <n v="1.294"/>
    <n v="1.508"/>
    <n v="22"/>
    <x v="3"/>
    <x v="25"/>
    <x v="3"/>
    <n v="525.34999999999991"/>
    <n v="521.85"/>
    <n v="527.79999999999995"/>
    <n v="507.5"/>
    <n v="527.79999999999995"/>
    <n v="0.92"/>
    <x v="0"/>
  </r>
  <r>
    <n v="64746"/>
    <n v="24529"/>
    <n v="8071"/>
    <n v="29306"/>
    <n v="2839"/>
    <n v="1.5009999999999999"/>
    <n v="1.4910000000000001"/>
    <n v="1.508"/>
    <n v="1.45"/>
    <n v="21980"/>
    <s v="07-23"/>
    <s v="23/04/2025"/>
    <n v="0.96"/>
    <n v="1.1819999999999999"/>
    <n v="1.508"/>
    <n v="23"/>
    <x v="3"/>
    <x v="25"/>
    <x v="3"/>
    <n v="525.34999999999991"/>
    <n v="521.85"/>
    <n v="527.79999999999995"/>
    <n v="507.5"/>
    <n v="527.79999999999995"/>
    <n v="0.92"/>
    <x v="0"/>
  </r>
  <r>
    <n v="64776"/>
    <n v="24541"/>
    <n v="8076"/>
    <n v="29317"/>
    <n v="2839"/>
    <n v="1.5009999999999999"/>
    <n v="1.4910000000000001"/>
    <n v="1.508"/>
    <n v="1.54"/>
    <n v="21988"/>
    <s v="07-27"/>
    <s v="24/04/2025"/>
    <n v="0.96"/>
    <n v="1.135"/>
    <n v="1.54"/>
    <n v="24"/>
    <x v="3"/>
    <x v="25"/>
    <x v="3"/>
    <n v="525.34999999999991"/>
    <n v="521.85"/>
    <n v="527.79999999999995"/>
    <n v="539"/>
    <n v="539"/>
    <n v="0.92"/>
    <x v="0"/>
  </r>
  <r>
    <n v="64805"/>
    <n v="24554"/>
    <n v="8081"/>
    <n v="29329"/>
    <n v="2839"/>
    <n v="1.5009999999999999"/>
    <n v="1.4910000000000001"/>
    <n v="1.508"/>
    <n v="1.45"/>
    <n v="21996"/>
    <s v="07-41"/>
    <s v="25/04/2025"/>
    <n v="0.97"/>
    <n v="9.5"/>
    <n v="1.508"/>
    <n v="25"/>
    <x v="3"/>
    <x v="25"/>
    <x v="3"/>
    <n v="525.34999999999991"/>
    <n v="521.85"/>
    <n v="527.79999999999995"/>
    <n v="507.5"/>
    <n v="527.79999999999995"/>
    <n v="0.92"/>
    <x v="0"/>
  </r>
  <r>
    <n v="64835"/>
    <n v="24567"/>
    <n v="8086"/>
    <n v="29341"/>
    <n v="2839"/>
    <n v="1.5009999999999999"/>
    <n v="1.4910000000000001"/>
    <n v="1.508"/>
    <n v="1.54"/>
    <n v="22005"/>
    <s v="07-09"/>
    <s v="26/04/2025"/>
    <n v="0.95"/>
    <n v="1.3009999999999999"/>
    <n v="1.54"/>
    <n v="26"/>
    <x v="3"/>
    <x v="25"/>
    <x v="3"/>
    <n v="525.34999999999991"/>
    <n v="521.85"/>
    <n v="527.79999999999995"/>
    <n v="539"/>
    <n v="539"/>
    <n v="0.92"/>
    <x v="0"/>
  </r>
  <r>
    <n v="64865"/>
    <n v="24567"/>
    <n v="8086"/>
    <n v="29365"/>
    <n v="2845"/>
    <n v="1.5009999999999999"/>
    <n v="1.4910000000000001"/>
    <n v="1.512"/>
    <n v="1.45"/>
    <n v="22014"/>
    <s v="09-36"/>
    <s v="27/04/2025"/>
    <n v="0.95"/>
    <n v="0"/>
    <n v="1.512"/>
    <n v="27"/>
    <x v="3"/>
    <x v="8"/>
    <x v="3"/>
    <n v="525.34999999999991"/>
    <n v="521.85"/>
    <n v="529.20000000000005"/>
    <n v="507.5"/>
    <n v="529.20000000000005"/>
    <n v="0.92"/>
    <x v="0"/>
  </r>
  <r>
    <n v="64889"/>
    <n v="24567"/>
    <n v="8086"/>
    <n v="29384"/>
    <n v="2850"/>
    <n v="1.5009999999999999"/>
    <n v="1.4910000000000001"/>
    <n v="1.512"/>
    <n v="1.4570000000000001"/>
    <n v="22026"/>
    <s v="07-11"/>
    <s v="28/04/2025"/>
    <n v="0.87"/>
    <n v="1.26"/>
    <n v="1.512"/>
    <n v="28"/>
    <x v="3"/>
    <x v="8"/>
    <x v="3"/>
    <n v="525.34999999999991"/>
    <n v="521.85"/>
    <n v="529.20000000000005"/>
    <n v="509.95000000000005"/>
    <n v="529.20000000000005"/>
    <n v="0.92"/>
    <x v="0"/>
  </r>
  <r>
    <n v="69922"/>
    <n v="24583"/>
    <n v="8091"/>
    <n v="29397"/>
    <n v="2850"/>
    <n v="1.5009999999999999"/>
    <n v="1.4910000000000001"/>
    <n v="1.512"/>
    <n v="1.4570000000000001"/>
    <n v="22038"/>
    <s v="10-08"/>
    <s v="29/04/2025"/>
    <n v="0.94"/>
    <n v="1.256"/>
    <n v="1.512"/>
    <n v="29"/>
    <x v="3"/>
    <x v="8"/>
    <x v="3"/>
    <n v="525.34999999999991"/>
    <n v="521.85"/>
    <n v="529.20000000000005"/>
    <n v="509.95000000000005"/>
    <n v="529.20000000000005"/>
    <n v="0.92"/>
    <x v="0"/>
  </r>
  <r>
    <n v="64949"/>
    <n v="24593"/>
    <n v="8096"/>
    <n v="29409"/>
    <n v="2850"/>
    <n v="1.508"/>
    <n v="1.4910000000000001"/>
    <n v="1.512"/>
    <n v="1.4570000000000001"/>
    <n v="22045"/>
    <s v="07-30"/>
    <s v="30/04/2025"/>
    <n v="0.97"/>
    <n v="11.08"/>
    <n v="1.512"/>
    <n v="30"/>
    <x v="3"/>
    <x v="8"/>
    <x v="3"/>
    <n v="527.79999999999995"/>
    <n v="521.85"/>
    <n v="529.20000000000005"/>
    <n v="509.95000000000005"/>
    <n v="529.20000000000005"/>
    <n v="0.92"/>
    <x v="0"/>
  </r>
  <r>
    <n v="64980"/>
    <n v="24006"/>
    <n v="8101"/>
    <n v="29421"/>
    <n v="2850"/>
    <n v="0"/>
    <n v="0"/>
    <n v="1.2749999999999999"/>
    <n v="0"/>
    <n v="22054"/>
    <s v="07-45"/>
    <d v="2025-01-12T00:00:00"/>
    <n v="0.96"/>
    <n v="1.165"/>
    <n v="1.2749999999999999"/>
    <n v="12"/>
    <x v="0"/>
    <x v="2"/>
    <x v="0"/>
    <n v="0"/>
    <n v="0"/>
    <n v="446.24999999999994"/>
    <n v="0"/>
    <n v="446.24999999999994"/>
    <n v="0.92"/>
    <x v="0"/>
  </r>
  <r>
    <n v="65005"/>
    <n v="24606"/>
    <n v="8101"/>
    <n v="29441"/>
    <n v="2854"/>
    <n v="0"/>
    <n v="0"/>
    <n v="1.306"/>
    <n v="1.159"/>
    <n v="22058"/>
    <s v="07-40"/>
    <d v="2025-01-12T00:00:00"/>
    <n v="0.99"/>
    <n v="0.85399999999999998"/>
    <n v="1.306"/>
    <n v="12"/>
    <x v="0"/>
    <x v="2"/>
    <x v="0"/>
    <n v="0"/>
    <n v="0"/>
    <n v="457.1"/>
    <n v="405.65000000000003"/>
    <n v="457.1"/>
    <n v="0.92"/>
    <x v="0"/>
  </r>
  <r>
    <n v="65032"/>
    <n v="24617"/>
    <n v="8106"/>
    <n v="29452"/>
    <n v="2854"/>
    <n v="1.29"/>
    <n v="1.244"/>
    <n v="1.306"/>
    <n v="1.1539999999999999"/>
    <n v="22065"/>
    <s v="07-10"/>
    <d v="2025-01-13T00:00:00"/>
    <n v="0.97"/>
    <n v="1.0720000000000001"/>
    <n v="1.306"/>
    <n v="13"/>
    <x v="0"/>
    <x v="2"/>
    <x v="0"/>
    <n v="451.5"/>
    <n v="435.4"/>
    <n v="457.1"/>
    <n v="403.9"/>
    <n v="457.1"/>
    <n v="0.92"/>
    <x v="0"/>
  </r>
  <r>
    <n v="65059"/>
    <n v="24617"/>
    <n v="8106"/>
    <n v="29475"/>
    <n v="2859"/>
    <n v="1.29"/>
    <n v="1.244"/>
    <n v="1.341"/>
    <n v="1.3069999999999999"/>
    <n v="22072"/>
    <s v="07-06"/>
    <d v="2025-01-14T00:00:00"/>
    <n v="0.95"/>
    <n v="1.069"/>
    <n v="1.341"/>
    <n v="14"/>
    <x v="0"/>
    <x v="2"/>
    <x v="0"/>
    <n v="451.5"/>
    <n v="435.4"/>
    <n v="469.34999999999997"/>
    <n v="457.45"/>
    <n v="469.34999999999997"/>
    <n v="0.92"/>
    <x v="0"/>
  </r>
  <r>
    <n v="65087"/>
    <n v="24617"/>
    <n v="8106"/>
    <n v="29498"/>
    <n v="2864"/>
    <n v="1.29"/>
    <n v="1.244"/>
    <n v="1.341"/>
    <n v="1.3069999999999999"/>
    <n v="22079"/>
    <s v="07-17"/>
    <d v="2025-01-15T00:00:00"/>
    <n v="0.96"/>
    <n v="1.111"/>
    <n v="1.341"/>
    <n v="15"/>
    <x v="0"/>
    <x v="2"/>
    <x v="0"/>
    <n v="451.5"/>
    <n v="435.4"/>
    <n v="469.34999999999997"/>
    <n v="457.45"/>
    <n v="469.34999999999997"/>
    <n v="0.92"/>
    <x v="0"/>
  </r>
  <r>
    <n v="65114"/>
    <n v="24629"/>
    <n v="8111"/>
    <n v="29509"/>
    <n v="2864"/>
    <n v="1.34"/>
    <n v="1.2809999999999999"/>
    <n v="1.341"/>
    <n v="1.3069999999999999"/>
    <n v="22085"/>
    <s v="07-05"/>
    <d v="2025-01-16T00:00:00"/>
    <n v="0.97"/>
    <n v="1.0149999999999999"/>
    <n v="1.341"/>
    <n v="16"/>
    <x v="0"/>
    <x v="2"/>
    <x v="0"/>
    <n v="469"/>
    <n v="448.34999999999997"/>
    <n v="469.34999999999997"/>
    <n v="457.45"/>
    <n v="469.34999999999997"/>
    <n v="0.92"/>
    <x v="0"/>
  </r>
  <r>
    <n v="65743"/>
    <n v="24642"/>
    <n v="8116"/>
    <n v="29520"/>
    <n v="2864"/>
    <n v="1.3680000000000001"/>
    <n v="1.3120000000000001"/>
    <n v="1.341"/>
    <n v="1.45"/>
    <n v="22092"/>
    <s v="07-07"/>
    <d v="2025-01-17T00:00:00"/>
    <n v="0.96"/>
    <n v="1.1399999999999999"/>
    <n v="1.45"/>
    <n v="17"/>
    <x v="0"/>
    <x v="2"/>
    <x v="0"/>
    <n v="478.8"/>
    <n v="459.20000000000005"/>
    <n v="469.34999999999997"/>
    <n v="507.5"/>
    <n v="507.5"/>
    <n v="0.92"/>
    <x v="0"/>
  </r>
  <r>
    <n v="65173"/>
    <n v="24655"/>
    <n v="8121"/>
    <n v="29533"/>
    <n v="2864"/>
    <n v="1.4330000000000001"/>
    <n v="1.3979999999999999"/>
    <n v="1.341"/>
    <n v="1.3069999999999999"/>
    <n v="22100"/>
    <s v="07-40"/>
    <d v="2025-01-18T00:00:00"/>
    <n v="0.97"/>
    <n v="1.1220000000000001"/>
    <n v="1.4330000000000001"/>
    <n v="18"/>
    <x v="0"/>
    <x v="2"/>
    <x v="0"/>
    <n v="501.55"/>
    <n v="489.29999999999995"/>
    <n v="469.34999999999997"/>
    <n v="457.45"/>
    <n v="501.55"/>
    <n v="0.92"/>
    <x v="0"/>
  </r>
  <r>
    <n v="65203"/>
    <n v="24667"/>
    <n v="8126"/>
    <n v="29544"/>
    <n v="2864"/>
    <n v="1.4330000000000001"/>
    <n v="1.3979999999999999"/>
    <n v="1.341"/>
    <n v="1.3069999999999999"/>
    <n v="22108"/>
    <s v="07-30"/>
    <d v="2025-01-19T00:00:00"/>
    <n v="0.96"/>
    <n v="1.2929999999999999"/>
    <n v="1.4330000000000001"/>
    <n v="19"/>
    <x v="0"/>
    <x v="3"/>
    <x v="0"/>
    <n v="501.55"/>
    <n v="489.29999999999995"/>
    <n v="469.34999999999997"/>
    <n v="457.45"/>
    <n v="501.55"/>
    <n v="0.92"/>
    <x v="0"/>
  </r>
  <r>
    <n v="65231"/>
    <n v="24680"/>
    <n v="8131"/>
    <n v="29555"/>
    <n v="2864"/>
    <n v="1.4330000000000001"/>
    <n v="1.3979999999999999"/>
    <n v="1.341"/>
    <n v="1.3069999999999999"/>
    <n v="22116"/>
    <s v="07-02"/>
    <d v="2025-01-20T00:00:00"/>
    <n v="0.96"/>
    <n v="1.23"/>
    <n v="1.4330000000000001"/>
    <n v="20"/>
    <x v="0"/>
    <x v="3"/>
    <x v="0"/>
    <n v="501.55"/>
    <n v="489.29999999999995"/>
    <n v="469.34999999999997"/>
    <n v="457.45"/>
    <n v="501.55"/>
    <n v="0.92"/>
    <x v="0"/>
  </r>
  <r>
    <n v="65256"/>
    <n v="24680"/>
    <n v="8131"/>
    <n v="29557"/>
    <n v="2864"/>
    <n v="1.4330000000000001"/>
    <n v="1.3979999999999999"/>
    <n v="1.5629999999999999"/>
    <n v="1.3069999999999999"/>
    <n v="22122"/>
    <s v="10-15"/>
    <d v="2025-01-21T00:00:00"/>
    <n v="0.93"/>
    <n v="1.284"/>
    <n v="1.5629999999999999"/>
    <n v="21"/>
    <x v="0"/>
    <x v="3"/>
    <x v="0"/>
    <n v="501.55"/>
    <n v="489.29999999999995"/>
    <n v="547.04999999999995"/>
    <n v="457.45"/>
    <n v="547.04999999999995"/>
    <n v="0.92"/>
    <x v="0"/>
  </r>
  <r>
    <n v="65285"/>
    <n v="24680"/>
    <n v="8131"/>
    <n v="29559"/>
    <n v="2873"/>
    <n v="1.4330000000000001"/>
    <n v="1.3979999999999999"/>
    <n v="1.5629999999999999"/>
    <n v="1.5149999999999999"/>
    <n v="22135"/>
    <s v="07-19"/>
    <d v="2025-01-22T00:00:00"/>
    <n v="0.9"/>
    <n v="1.274"/>
    <n v="1.5629999999999999"/>
    <n v="22"/>
    <x v="0"/>
    <x v="3"/>
    <x v="0"/>
    <n v="501.55"/>
    <n v="489.29999999999995"/>
    <n v="547.04999999999995"/>
    <n v="530.25"/>
    <n v="547.04999999999995"/>
    <n v="0.92"/>
    <x v="0"/>
  </r>
  <r>
    <n v="65303"/>
    <n v="24696"/>
    <n v="8141"/>
    <n v="29602"/>
    <n v="2873"/>
    <n v="1.446"/>
    <n v="1.4159999999999999"/>
    <n v="1.5629999999999999"/>
    <n v="1.5149999999999999"/>
    <n v="22149"/>
    <s v="07-16"/>
    <d v="2025-01-23T00:00:00"/>
    <n v="0.95"/>
    <n v="1.1879999999999999"/>
    <n v="1.5629999999999999"/>
    <n v="23"/>
    <x v="0"/>
    <x v="3"/>
    <x v="0"/>
    <n v="506.09999999999997"/>
    <n v="495.59999999999997"/>
    <n v="547.04999999999995"/>
    <n v="530.25"/>
    <n v="547.04999999999995"/>
    <n v="0.92"/>
    <x v="0"/>
  </r>
  <r>
    <n v="65343"/>
    <n v="24708"/>
    <n v="8141"/>
    <n v="29621"/>
    <n v="2873"/>
    <n v="1.446"/>
    <n v="1.4159999999999999"/>
    <n v="1.5629999999999999"/>
    <n v="1.5149999999999999"/>
    <n v="22157"/>
    <s v="07-10"/>
    <d v="2025-01-24T00:00:00"/>
    <n v="0.96"/>
    <n v="1.169"/>
    <n v="1.5629999999999999"/>
    <n v="24"/>
    <x v="0"/>
    <x v="3"/>
    <x v="0"/>
    <n v="506.09999999999997"/>
    <n v="495.59999999999997"/>
    <n v="547.04999999999995"/>
    <n v="530.25"/>
    <n v="547.04999999999995"/>
    <n v="0.92"/>
    <x v="0"/>
  </r>
  <r>
    <n v="65373"/>
    <n v="24718"/>
    <n v="8146"/>
    <n v="29634"/>
    <n v="2873"/>
    <n v="1.446"/>
    <n v="1.4159999999999999"/>
    <n v="1.5629999999999999"/>
    <n v="1.5149999999999999"/>
    <n v="22165"/>
    <s v="07-27"/>
    <d v="2025-01-25T00:00:00"/>
    <n v="0.97"/>
    <n v="1.0580000000000001"/>
    <n v="1.5629999999999999"/>
    <n v="25"/>
    <x v="0"/>
    <x v="3"/>
    <x v="0"/>
    <n v="506.09999999999997"/>
    <n v="495.59999999999997"/>
    <n v="547.04999999999995"/>
    <n v="530.25"/>
    <n v="547.04999999999995"/>
    <n v="0.92"/>
    <x v="0"/>
  </r>
  <r>
    <n v="65402"/>
    <n v="24731"/>
    <n v="8150"/>
    <n v="29646"/>
    <n v="2873"/>
    <n v="1.446"/>
    <n v="1.4159999999999999"/>
    <n v="1.5629999999999999"/>
    <n v="1.5149999999999999"/>
    <n v="22173"/>
    <s v="07-20"/>
    <d v="2025-01-26T00:00:00"/>
    <n v="0.98"/>
    <n v="1.012"/>
    <n v="1.5629999999999999"/>
    <n v="26"/>
    <x v="0"/>
    <x v="4"/>
    <x v="0"/>
    <n v="506.09999999999997"/>
    <n v="495.59999999999997"/>
    <n v="547.04999999999995"/>
    <n v="530.25"/>
    <n v="547.04999999999995"/>
    <n v="0.92"/>
    <x v="0"/>
  </r>
  <r>
    <n v="65432"/>
    <n v="24744"/>
    <n v="8156"/>
    <n v="29657"/>
    <n v="2873"/>
    <n v="1.446"/>
    <n v="1.4159999999999999"/>
    <n v="1.5629999999999999"/>
    <n v="1.5149999999999999"/>
    <n v="22180"/>
    <s v="07-20"/>
    <d v="2025-01-27T00:00:00"/>
    <n v="0.97"/>
    <n v="1.1719999999999999"/>
    <n v="1.5629999999999999"/>
    <n v="27"/>
    <x v="0"/>
    <x v="4"/>
    <x v="0"/>
    <n v="506.09999999999997"/>
    <n v="495.59999999999997"/>
    <n v="547.04999999999995"/>
    <n v="530.25"/>
    <n v="547.04999999999995"/>
    <n v="0.92"/>
    <x v="0"/>
  </r>
  <r>
    <n v="65461"/>
    <n v="24744"/>
    <n v="8156"/>
    <n v="29682"/>
    <n v="2873"/>
    <n v="1.446"/>
    <n v="1.4159999999999999"/>
    <n v="1.5629999999999999"/>
    <n v="1.5149999999999999"/>
    <n v="22189"/>
    <s v="07-09"/>
    <d v="2025-01-28T00:00:00"/>
    <n v="0.94"/>
    <n v="1.042"/>
    <n v="1.5629999999999999"/>
    <n v="28"/>
    <x v="0"/>
    <x v="4"/>
    <x v="0"/>
    <n v="506.09999999999997"/>
    <n v="495.59999999999997"/>
    <n v="547.04999999999995"/>
    <n v="530.25"/>
    <n v="547.04999999999995"/>
    <n v="0.92"/>
    <x v="0"/>
  </r>
  <r>
    <n v="65489"/>
    <n v="24744"/>
    <n v="8156"/>
    <n v="29705"/>
    <n v="2883"/>
    <n v="1.446"/>
    <n v="1.4159999999999999"/>
    <n v="1.5629999999999999"/>
    <n v="1.5149999999999999"/>
    <n v="22196"/>
    <s v="07-03"/>
    <d v="2025-01-29T00:00:00"/>
    <n v="0.96"/>
    <n v="1.1919999999999999"/>
    <n v="1.5629999999999999"/>
    <n v="29"/>
    <x v="0"/>
    <x v="4"/>
    <x v="0"/>
    <n v="506.09999999999997"/>
    <n v="495.59999999999997"/>
    <n v="547.04999999999995"/>
    <n v="530.25"/>
    <n v="547.04999999999995"/>
    <n v="0.92"/>
    <x v="0"/>
  </r>
  <r>
    <n v="65519"/>
    <n v="24757"/>
    <n v="8161"/>
    <n v="29717"/>
    <n v="2883"/>
    <n v="1.446"/>
    <n v="1.4159999999999999"/>
    <n v="1.5629999999999999"/>
    <n v="1.5149999999999999"/>
    <n v="22204"/>
    <s v="07-01"/>
    <d v="2025-01-30T00:00:00"/>
    <n v="0.96"/>
    <n v="1.0860000000000001"/>
    <n v="1.5629999999999999"/>
    <n v="30"/>
    <x v="0"/>
    <x v="4"/>
    <x v="0"/>
    <n v="506.09999999999997"/>
    <n v="495.59999999999997"/>
    <n v="547.04999999999995"/>
    <n v="530.25"/>
    <n v="547.04999999999995"/>
    <n v="0.92"/>
    <x v="0"/>
  </r>
  <r>
    <n v="65548"/>
    <n v="24770"/>
    <n v="8166"/>
    <n v="29729"/>
    <n v="2883"/>
    <n v="1.4630000000000001"/>
    <n v="1.4159999999999999"/>
    <n v="1.5629999999999999"/>
    <n v="1.5149999999999999"/>
    <n v="22212"/>
    <s v="07-16"/>
    <d v="2025-01-31T00:00:00"/>
    <n v="0.97"/>
    <n v="1.069"/>
    <n v="1.5629999999999999"/>
    <n v="31"/>
    <x v="0"/>
    <x v="4"/>
    <x v="0"/>
    <n v="512.05000000000007"/>
    <n v="495.59999999999997"/>
    <n v="547.04999999999995"/>
    <n v="530.25"/>
    <n v="547.04999999999995"/>
    <n v="0.92"/>
    <x v="0"/>
  </r>
  <r>
    <n v="65572"/>
    <n v="24783"/>
    <n v="8171"/>
    <n v="29734"/>
    <n v="2883"/>
    <n v="1.4910000000000001"/>
    <n v="1.488"/>
    <n v="1.5629999999999999"/>
    <n v="1.5149999999999999"/>
    <n v="22220"/>
    <s v="07-30"/>
    <d v="2025-02-01T00:00:00"/>
    <n v="0.9"/>
    <n v="1.387"/>
    <n v="1.5629999999999999"/>
    <n v="1"/>
    <x v="1"/>
    <x v="4"/>
    <x v="1"/>
    <n v="521.85"/>
    <n v="520.79999999999995"/>
    <n v="547.04999999999995"/>
    <n v="530.25"/>
    <n v="547.04999999999995"/>
    <n v="0.92"/>
    <x v="0"/>
  </r>
  <r>
    <n v="65596"/>
    <n v="24796"/>
    <n v="8176"/>
    <n v="29740"/>
    <n v="2883"/>
    <n v="1.4910000000000001"/>
    <n v="1.488"/>
    <n v="1.5629999999999999"/>
    <n v="1.5149999999999999"/>
    <n v="22227"/>
    <s v="07-20"/>
    <d v="2025-02-02T00:00:00"/>
    <n v="0.9"/>
    <n v="1.1299999999999999"/>
    <n v="1.5629999999999999"/>
    <n v="2"/>
    <x v="1"/>
    <x v="5"/>
    <x v="1"/>
    <n v="521.85"/>
    <n v="520.79999999999995"/>
    <n v="547.04999999999995"/>
    <n v="530.25"/>
    <n v="547.04999999999995"/>
    <n v="0.92"/>
    <x v="0"/>
  </r>
  <r>
    <n v="65619"/>
    <n v="24809"/>
    <n v="8181"/>
    <n v="29745"/>
    <n v="2883"/>
    <n v="1.4910000000000001"/>
    <n v="1.488"/>
    <n v="1.5629999999999999"/>
    <n v="1.5149999999999999"/>
    <n v="22236"/>
    <s v="07-40"/>
    <d v="2025-02-03T00:00:00"/>
    <n v="0.94"/>
    <n v="1.2529999999999999"/>
    <n v="1.5629999999999999"/>
    <n v="3"/>
    <x v="1"/>
    <x v="5"/>
    <x v="1"/>
    <n v="521.85"/>
    <n v="520.79999999999995"/>
    <n v="547.04999999999995"/>
    <n v="530.25"/>
    <n v="547.04999999999995"/>
    <n v="0.92"/>
    <x v="0"/>
  </r>
  <r>
    <n v="65649"/>
    <n v="24809"/>
    <n v="8181"/>
    <n v="29770"/>
    <n v="2888"/>
    <n v="1.4910000000000001"/>
    <n v="1.488"/>
    <n v="1.5629999999999999"/>
    <n v="1.5149999999999999"/>
    <n v="22250"/>
    <s v="07-00"/>
    <d v="2025-02-04T00:00:00"/>
    <n v="0.89"/>
    <n v="1.206"/>
    <n v="1.5629999999999999"/>
    <n v="4"/>
    <x v="1"/>
    <x v="5"/>
    <x v="1"/>
    <n v="521.85"/>
    <n v="520.79999999999995"/>
    <n v="547.04999999999995"/>
    <n v="530.25"/>
    <n v="547.04999999999995"/>
    <n v="0.92"/>
    <x v="0"/>
  </r>
  <r>
    <n v="65679"/>
    <n v="24809"/>
    <n v="8181"/>
    <n v="29795"/>
    <n v="2893"/>
    <n v="1.4910000000000001"/>
    <n v="1.488"/>
    <n v="1.5629999999999999"/>
    <n v="1.5149999999999999"/>
    <n v="22259"/>
    <s v="07-12"/>
    <d v="2025-02-05T00:00:00"/>
    <n v="0.99"/>
    <n v="1.042"/>
    <n v="1.5629999999999999"/>
    <n v="5"/>
    <x v="1"/>
    <x v="5"/>
    <x v="1"/>
    <n v="521.85"/>
    <n v="520.79999999999995"/>
    <n v="547.04999999999995"/>
    <n v="530.25"/>
    <n v="547.04999999999995"/>
    <n v="0.92"/>
    <x v="0"/>
  </r>
  <r>
    <n v="65709"/>
    <n v="24822"/>
    <n v="8186"/>
    <n v="29807"/>
    <n v="2893"/>
    <n v="1.4910000000000001"/>
    <n v="1.512"/>
    <n v="1.5629999999999999"/>
    <n v="1.5149999999999999"/>
    <n v="22267"/>
    <s v="07-16"/>
    <d v="2025-02-06T00:00:00"/>
    <n v="0.96"/>
    <n v="1.1919999999999999"/>
    <n v="1.5629999999999999"/>
    <n v="6"/>
    <x v="1"/>
    <x v="5"/>
    <x v="1"/>
    <n v="521.85"/>
    <n v="529.20000000000005"/>
    <n v="547.04999999999995"/>
    <n v="530.25"/>
    <n v="547.04999999999995"/>
    <n v="0.92"/>
    <x v="0"/>
  </r>
  <r>
    <n v="65738"/>
    <n v="24835"/>
    <n v="8191"/>
    <n v="29819"/>
    <n v="2893"/>
    <n v="1.4910000000000001"/>
    <n v="1.512"/>
    <n v="1.5629999999999999"/>
    <n v="1.5149999999999999"/>
    <n v="22275"/>
    <s v="0-00"/>
    <d v="2025-02-07T00:00:00"/>
    <n v="0.97"/>
    <n v="1.077"/>
    <n v="1.5629999999999999"/>
    <n v="7"/>
    <x v="1"/>
    <x v="5"/>
    <x v="1"/>
    <n v="521.85"/>
    <n v="529.20000000000005"/>
    <n v="547.04999999999995"/>
    <n v="530.25"/>
    <n v="547.04999999999995"/>
    <n v="0.92"/>
    <x v="0"/>
  </r>
  <r>
    <n v="65768"/>
    <n v="24848"/>
    <n v="8196"/>
    <n v="29830"/>
    <n v="2893"/>
    <n v="1.4950000000000001"/>
    <n v="1.512"/>
    <n v="1.5629999999999999"/>
    <n v="1.5149999999999999"/>
    <n v="22283"/>
    <s v="07-10"/>
    <d v="2025-02-08T00:00:00"/>
    <n v="0.96"/>
    <n v="1.1459999999999999"/>
    <n v="1.5629999999999999"/>
    <n v="8"/>
    <x v="1"/>
    <x v="5"/>
    <x v="1"/>
    <n v="523.25"/>
    <n v="529.20000000000005"/>
    <n v="547.04999999999995"/>
    <n v="530.25"/>
    <n v="547.04999999999995"/>
    <n v="0.92"/>
    <x v="0"/>
  </r>
  <r>
    <n v="65797"/>
    <n v="24861"/>
    <n v="8201"/>
    <n v="29842"/>
    <n v="2893"/>
    <n v="1.4950000000000001"/>
    <n v="1.512"/>
    <n v="1.5629999999999999"/>
    <n v="1.5149999999999999"/>
    <n v="22291"/>
    <s v="07-20"/>
    <d v="2025-02-09T00:00:00"/>
    <n v="0.96"/>
    <n v="1.1399999999999999"/>
    <n v="1.5629999999999999"/>
    <n v="9"/>
    <x v="1"/>
    <x v="16"/>
    <x v="1"/>
    <n v="523.25"/>
    <n v="529.20000000000005"/>
    <n v="547.04999999999995"/>
    <n v="530.25"/>
    <n v="547.04999999999995"/>
    <n v="0.92"/>
    <x v="0"/>
  </r>
  <r>
    <n v="65827"/>
    <n v="24873"/>
    <n v="8206"/>
    <n v="29854"/>
    <n v="2893"/>
    <n v="1.4950000000000001"/>
    <n v="1.5"/>
    <n v="1.5629999999999999"/>
    <n v="1.5149999999999999"/>
    <n v="2229"/>
    <s v="07-05"/>
    <d v="2025-02-10T00:00:00"/>
    <n v="0.96"/>
    <n v="1.6890000000000001"/>
    <n v="1.5629999999999999"/>
    <n v="10"/>
    <x v="1"/>
    <x v="16"/>
    <x v="1"/>
    <n v="523.25"/>
    <n v="525"/>
    <n v="547.04999999999995"/>
    <n v="530.25"/>
    <n v="547.04999999999995"/>
    <n v="0.92"/>
    <x v="0"/>
  </r>
  <r>
    <n v="65856"/>
    <n v="24873"/>
    <n v="8206"/>
    <n v="29878"/>
    <n v="2898"/>
    <n v="0"/>
    <n v="0"/>
    <n v="1.274"/>
    <n v="0"/>
    <n v="22307"/>
    <n v="0.2951388888888889"/>
    <d v="2025-05-05T00:00:00"/>
    <n v="0.94"/>
    <n v="1.0489999999999999"/>
    <n v="1.274"/>
    <n v="5"/>
    <x v="4"/>
    <x v="23"/>
    <x v="4"/>
    <n v="0"/>
    <n v="0"/>
    <n v="445.90000000000003"/>
    <n v="0"/>
    <n v="445.90000000000003"/>
    <n v="0.94"/>
    <x v="0"/>
  </r>
  <r>
    <n v="65887"/>
    <n v="24874"/>
    <n v="8206"/>
    <n v="29903"/>
    <n v="2903"/>
    <n v="1.0549999999999999"/>
    <n v="0"/>
    <n v="1.506"/>
    <n v="1.325"/>
    <n v="22316"/>
    <n v="0.34930555555555554"/>
    <d v="2025-05-06T00:00:00"/>
    <n v="0.97"/>
    <n v="1.1459999999999999"/>
    <n v="1.506"/>
    <n v="6"/>
    <x v="4"/>
    <x v="23"/>
    <x v="4"/>
    <n v="369.25"/>
    <n v="0"/>
    <n v="527.1"/>
    <n v="463.75"/>
    <n v="527.1"/>
    <n v="0.94"/>
    <x v="0"/>
  </r>
  <r>
    <n v="65915"/>
    <n v="24886"/>
    <n v="8211"/>
    <n v="29914"/>
    <n v="2903"/>
    <n v="1.389"/>
    <n v="1.359"/>
    <n v="1.506"/>
    <n v="1.3260000000000001"/>
    <n v="22323"/>
    <n v="0.32083333333333336"/>
    <d v="2025-05-07T00:00:00"/>
    <n v="0.96"/>
    <n v="1.1220000000000001"/>
    <n v="1.506"/>
    <n v="7"/>
    <x v="4"/>
    <x v="23"/>
    <x v="4"/>
    <n v="486.15"/>
    <n v="475.65"/>
    <n v="527.1"/>
    <n v="464.1"/>
    <n v="527.1"/>
    <n v="0.94"/>
    <x v="0"/>
  </r>
  <r>
    <n v="65943"/>
    <n v="24898"/>
    <n v="8216"/>
    <n v="29925"/>
    <n v="2903"/>
    <n v="1.4"/>
    <n v="1.3979999999999999"/>
    <n v="1.506"/>
    <n v="1.3260000000000001"/>
    <n v="22331"/>
    <n v="0.29305555555555557"/>
    <d v="2025-05-08T00:00:00"/>
    <n v="0.97"/>
    <n v="1.103"/>
    <n v="1.506"/>
    <n v="8"/>
    <x v="4"/>
    <x v="23"/>
    <x v="4"/>
    <n v="489.99999999999994"/>
    <n v="489.29999999999995"/>
    <n v="527.1"/>
    <n v="464.1"/>
    <n v="527.1"/>
    <n v="0.94"/>
    <x v="0"/>
  </r>
  <r>
    <n v="65972"/>
    <n v="24910"/>
    <n v="8221"/>
    <n v="29936"/>
    <n v="2903"/>
    <n v="1.4"/>
    <n v="1.3979999999999999"/>
    <n v="1.506"/>
    <n v="1.3260000000000001"/>
    <n v="22339"/>
    <n v="0.29305555555555557"/>
    <d v="2025-05-09T00:00:00"/>
    <n v="0.96"/>
    <n v="1.1459999999999999"/>
    <n v="1.506"/>
    <n v="9"/>
    <x v="4"/>
    <x v="23"/>
    <x v="4"/>
    <n v="489.99999999999994"/>
    <n v="489.29999999999995"/>
    <n v="527.1"/>
    <n v="464.1"/>
    <n v="527.1"/>
    <n v="0.94"/>
    <x v="0"/>
  </r>
  <r>
    <n v="66001"/>
    <n v="24922"/>
    <n v="8226"/>
    <n v="29948"/>
    <n v="2903"/>
    <n v="1.419"/>
    <n v="1.3979999999999999"/>
    <n v="1.506"/>
    <n v="1.3260000000000001"/>
    <n v="22347"/>
    <n v="0.30555555555555558"/>
    <d v="2025-05-10T00:00:00"/>
    <n v="0.96"/>
    <n v="1.0329999999999999"/>
    <n v="1.506"/>
    <n v="10"/>
    <x v="4"/>
    <x v="23"/>
    <x v="4"/>
    <n v="496.65000000000003"/>
    <n v="489.29999999999995"/>
    <n v="527.1"/>
    <n v="464.1"/>
    <n v="527.1"/>
    <n v="0.94"/>
    <x v="0"/>
  </r>
  <r>
    <n v="66029"/>
    <n v="24935"/>
    <n v="8231"/>
    <n v="29960"/>
    <n v="2903"/>
    <n v="1.419"/>
    <n v="1.3979999999999999"/>
    <n v="1.506"/>
    <n v="1.3260000000000001"/>
    <n v="22354"/>
    <n v="0.3125"/>
    <d v="2025-05-11T00:00:00"/>
    <n v="0.96"/>
    <n v="1.2290000000000001"/>
    <n v="1.506"/>
    <n v="11"/>
    <x v="4"/>
    <x v="26"/>
    <x v="4"/>
    <n v="496.65000000000003"/>
    <n v="489.29999999999995"/>
    <n v="527.1"/>
    <n v="464.1"/>
    <n v="527.1"/>
    <n v="0.94"/>
    <x v="0"/>
  </r>
  <r>
    <n v="66058"/>
    <n v="24935"/>
    <n v="8231"/>
    <n v="29984"/>
    <n v="2908"/>
    <n v="1.419"/>
    <n v="1.3979999999999999"/>
    <n v="1.506"/>
    <n v="1.355"/>
    <n v="22363"/>
    <n v="0.29791666666666666"/>
    <d v="2025-05-12T00:00:00"/>
    <n v="0.95"/>
    <n v="1.2030000000000001"/>
    <n v="1.506"/>
    <n v="12"/>
    <x v="4"/>
    <x v="26"/>
    <x v="4"/>
    <n v="496.65000000000003"/>
    <n v="489.29999999999995"/>
    <n v="527.1"/>
    <n v="474.25"/>
    <n v="527.1"/>
    <n v="0.94"/>
    <x v="0"/>
  </r>
  <r>
    <n v="66086"/>
    <n v="24935"/>
    <n v="8231"/>
    <n v="30007"/>
    <n v="2912"/>
    <n v="1.419"/>
    <n v="1.3979999999999999"/>
    <n v="1.506"/>
    <n v="1.355"/>
    <n v="22371"/>
    <n v="0.30694444444444446"/>
    <d v="2025-05-13T00:00:00"/>
    <n v="0.96"/>
    <n v="1.1539999999999999"/>
    <n v="1.506"/>
    <n v="13"/>
    <x v="4"/>
    <x v="26"/>
    <x v="4"/>
    <n v="496.65000000000003"/>
    <n v="489.29999999999995"/>
    <n v="527.1"/>
    <n v="474.25"/>
    <n v="527.1"/>
    <n v="0.94"/>
    <x v="0"/>
  </r>
  <r>
    <n v="66115"/>
    <n v="24947"/>
    <n v="8236"/>
    <n v="30018"/>
    <n v="2912"/>
    <n v="1.419"/>
    <n v="1.3979999999999999"/>
    <n v="1.506"/>
    <n v="1.355"/>
    <n v="22378"/>
    <n v="0.31944444444444442"/>
    <d v="2025-05-14T00:00:00"/>
    <n v="0.98"/>
    <n v="9.1999999999999993"/>
    <n v="1.506"/>
    <n v="14"/>
    <x v="4"/>
    <x v="26"/>
    <x v="4"/>
    <n v="496.65000000000003"/>
    <n v="489.29999999999995"/>
    <n v="527.1"/>
    <n v="474.25"/>
    <n v="527.1"/>
    <n v="0.94"/>
    <x v="0"/>
  </r>
  <r>
    <n v="66142"/>
    <n v="24959"/>
    <n v="8240"/>
    <n v="30029"/>
    <n v="2912"/>
    <n v="1.419"/>
    <n v="1.3979999999999999"/>
    <n v="1.506"/>
    <n v="1.355"/>
    <n v="22385"/>
    <n v="0.2951388888888889"/>
    <d v="2025-05-15T00:00:00"/>
    <n v="0.96"/>
    <n v="1.1319999999999999"/>
    <n v="1.506"/>
    <n v="15"/>
    <x v="4"/>
    <x v="26"/>
    <x v="4"/>
    <n v="496.65000000000003"/>
    <n v="489.29999999999995"/>
    <n v="527.1"/>
    <n v="474.25"/>
    <n v="527.1"/>
    <n v="0.94"/>
    <x v="0"/>
  </r>
  <r>
    <n v="66172"/>
    <n v="24971"/>
    <n v="8245"/>
    <n v="30041"/>
    <n v="2912"/>
    <n v="1.48"/>
    <n v="1.3979999999999999"/>
    <n v="1.506"/>
    <n v="1.355"/>
    <n v="22393"/>
    <n v="0.30555555555555558"/>
    <d v="2025-05-16T00:00:00"/>
    <n v="0.96"/>
    <n v="1.012"/>
    <n v="1.506"/>
    <n v="16"/>
    <x v="4"/>
    <x v="26"/>
    <x v="4"/>
    <n v="518"/>
    <n v="489.29999999999995"/>
    <n v="527.1"/>
    <n v="474.25"/>
    <n v="527.1"/>
    <n v="0.94"/>
    <x v="0"/>
  </r>
  <r>
    <n v="66202"/>
    <n v="24985"/>
    <n v="8251"/>
    <n v="30050"/>
    <n v="2912"/>
    <n v="1.4890000000000001"/>
    <n v="1.4670000000000001"/>
    <n v="1.506"/>
    <n v="1.355"/>
    <n v="22402"/>
    <n v="0.30902777777777779"/>
    <d v="2025-05-17T00:00:00"/>
    <n v="0.96"/>
    <n v="1.2030000000000001"/>
    <n v="1.506"/>
    <n v="17"/>
    <x v="4"/>
    <x v="26"/>
    <x v="4"/>
    <n v="521.15000000000009"/>
    <n v="513.45000000000005"/>
    <n v="527.1"/>
    <n v="474.25"/>
    <n v="527.1"/>
    <n v="0.94"/>
    <x v="0"/>
  </r>
  <r>
    <n v="66232"/>
    <n v="24998"/>
    <n v="8256"/>
    <n v="30065"/>
    <n v="2912"/>
    <n v="1.4890000000000001"/>
    <n v="1.4670000000000001"/>
    <n v="1.506"/>
    <n v="1.355"/>
    <n v="22421"/>
    <n v="0.2986111111111111"/>
    <d v="2025-05-18T00:00:00"/>
    <n v="0.97"/>
    <n v="1.18"/>
    <n v="1.506"/>
    <n v="18"/>
    <x v="4"/>
    <x v="27"/>
    <x v="4"/>
    <n v="521.15000000000009"/>
    <n v="513.45000000000005"/>
    <n v="527.1"/>
    <n v="474.25"/>
    <n v="527.1"/>
    <n v="0.94"/>
    <x v="0"/>
  </r>
  <r>
    <n v="66262"/>
    <n v="24998"/>
    <n v="8256"/>
    <n v="30089"/>
    <n v="2917"/>
    <n v="1.4890000000000001"/>
    <n v="1.4670000000000001"/>
    <n v="1.506"/>
    <n v="1.355"/>
    <n v="2.2418999999999998"/>
    <n v="0.29583333333333334"/>
    <d v="2025-05-19T00:00:00"/>
    <n v="0.96"/>
    <n v="1.046"/>
    <n v="1.506"/>
    <n v="19"/>
    <x v="4"/>
    <x v="27"/>
    <x v="4"/>
    <n v="521.15000000000009"/>
    <n v="513.45000000000005"/>
    <n v="527.1"/>
    <n v="474.25"/>
    <n v="527.1"/>
    <n v="0.94"/>
    <x v="0"/>
  </r>
  <r>
    <n v="66299"/>
    <n v="25002"/>
    <n v="8256"/>
    <n v="30096"/>
    <n v="2922"/>
    <n v="1.4890000000000001"/>
    <n v="1.4670000000000001"/>
    <n v="1.506"/>
    <n v="1.355"/>
    <n v="2.2429999999999999"/>
    <n v="0.3125"/>
    <d v="2025-05-20T00:00:00"/>
    <n v="0.94"/>
    <n v="1.3540000000000001"/>
    <n v="1.506"/>
    <n v="20"/>
    <x v="4"/>
    <x v="27"/>
    <x v="4"/>
    <n v="521.15000000000009"/>
    <n v="513.45000000000005"/>
    <n v="527.1"/>
    <n v="474.25"/>
    <n v="527.1"/>
    <n v="0.94"/>
    <x v="0"/>
  </r>
  <r>
    <n v="66320"/>
    <n v="25011"/>
    <n v="8256"/>
    <n v="30125"/>
    <n v="2922"/>
    <n v="1.4890000000000001"/>
    <n v="1.4670000000000001"/>
    <n v="1.506"/>
    <n v="1.355"/>
    <n v="22435"/>
    <n v="0.29930555555555555"/>
    <d v="2025-05-21T00:00:00"/>
    <n v="0.94"/>
    <n v="1.206"/>
    <n v="1.506"/>
    <n v="21"/>
    <x v="4"/>
    <x v="27"/>
    <x v="4"/>
    <n v="521.15000000000009"/>
    <n v="513.45000000000005"/>
    <n v="527.1"/>
    <n v="474.25"/>
    <n v="527.1"/>
    <n v="0.94"/>
    <x v="0"/>
  </r>
  <r>
    <n v="66350"/>
    <n v="25024"/>
    <n v="8266"/>
    <n v="30137"/>
    <n v="2922"/>
    <n v="1.536"/>
    <n v="1.4670000000000001"/>
    <n v="1.506"/>
    <n v="1.355"/>
    <n v="22444"/>
    <n v="0.2986111111111111"/>
    <d v="2025-05-22T00:00:00"/>
    <n v="0.96"/>
    <n v="1.3049999999999999"/>
    <n v="1.536"/>
    <n v="22"/>
    <x v="4"/>
    <x v="27"/>
    <x v="4"/>
    <n v="537.6"/>
    <n v="513.45000000000005"/>
    <n v="527.1"/>
    <n v="474.25"/>
    <n v="537.6"/>
    <n v="0.94"/>
    <x v="0"/>
  </r>
  <r>
    <n v="66380"/>
    <n v="25037"/>
    <n v="8271"/>
    <n v="30149"/>
    <n v="2922"/>
    <n v="1.536"/>
    <n v="1.4670000000000001"/>
    <n v="1.506"/>
    <n v="1.355"/>
    <n v="22452"/>
    <n v="0.30277777777777776"/>
    <d v="2025-05-23T00:00:00"/>
    <n v="0.97"/>
    <n v="10.66"/>
    <n v="1.536"/>
    <n v="23"/>
    <x v="4"/>
    <x v="27"/>
    <x v="4"/>
    <n v="537.6"/>
    <n v="513.45000000000005"/>
    <n v="527.1"/>
    <n v="474.25"/>
    <n v="537.6"/>
    <n v="0.94"/>
    <x v="0"/>
  </r>
  <r>
    <n v="66410"/>
    <n v="25050"/>
    <n v="8276"/>
    <n v="30160"/>
    <n v="2922"/>
    <n v="1.536"/>
    <n v="1.4670000000000001"/>
    <n v="1.506"/>
    <n v="1.355"/>
    <n v="22461"/>
    <n v="0.30555555555555558"/>
    <d v="2025-05-24T00:00:00"/>
    <n v="0.96"/>
    <n v="1.2210000000000001"/>
    <n v="1.536"/>
    <n v="24"/>
    <x v="4"/>
    <x v="27"/>
    <x v="4"/>
    <n v="537.6"/>
    <n v="513.45000000000005"/>
    <n v="527.1"/>
    <n v="474.25"/>
    <n v="537.6"/>
    <n v="0.94"/>
    <x v="0"/>
  </r>
  <r>
    <n v="66440"/>
    <n v="25063"/>
    <n v="8281"/>
    <n v="30172"/>
    <n v="2922"/>
    <n v="1.536"/>
    <n v="1.4670000000000001"/>
    <n v="1.506"/>
    <n v="1.355"/>
    <n v="22469"/>
    <n v="0.2986111111111111"/>
    <d v="2025-05-25T00:00:00"/>
    <n v="0.94"/>
    <n v="0.98599999999999999"/>
    <n v="1.536"/>
    <n v="25"/>
    <x v="4"/>
    <x v="28"/>
    <x v="4"/>
    <n v="537.6"/>
    <n v="513.45000000000005"/>
    <n v="527.1"/>
    <n v="474.25"/>
    <n v="537.6"/>
    <n v="0.94"/>
    <x v="0"/>
  </r>
  <r>
    <n v="66470"/>
    <n v="25063"/>
    <n v="8281"/>
    <n v="30197"/>
    <n v="2927"/>
    <n v="1.536"/>
    <n v="1.4670000000000001"/>
    <n v="1.506"/>
    <n v="1.355"/>
    <n v="22478"/>
    <n v="0.34097222222222223"/>
    <d v="2025-05-26T00:00:00"/>
    <n v="0.96"/>
    <n v="9.69"/>
    <n v="1.536"/>
    <n v="26"/>
    <x v="4"/>
    <x v="28"/>
    <x v="4"/>
    <n v="537.6"/>
    <n v="513.45000000000005"/>
    <n v="527.1"/>
    <n v="474.25"/>
    <n v="537.6"/>
    <n v="0.94"/>
    <x v="0"/>
  </r>
  <r>
    <n v="66497"/>
    <n v="25063"/>
    <n v="8281"/>
    <n v="30219"/>
    <n v="2932"/>
    <n v="1.536"/>
    <n v="1.4670000000000001"/>
    <n v="1.506"/>
    <n v="1.355"/>
    <n v="22485"/>
    <n v="0.35902777777777778"/>
    <d v="2025-05-27T00:00:00"/>
    <n v="0.97"/>
    <n v="1.0409999999999999"/>
    <n v="1.536"/>
    <n v="27"/>
    <x v="4"/>
    <x v="28"/>
    <x v="4"/>
    <n v="537.6"/>
    <n v="513.45000000000005"/>
    <n v="527.1"/>
    <n v="474.25"/>
    <n v="537.6"/>
    <n v="0.94"/>
    <x v="0"/>
  </r>
  <r>
    <n v="66526"/>
    <n v="25076"/>
    <n v="8286"/>
    <n v="30231"/>
    <n v="2932"/>
    <n v="1.536"/>
    <n v="1.4670000000000001"/>
    <n v="1.506"/>
    <n v="1.355"/>
    <n v="22493"/>
    <n v="0.32361111111111113"/>
    <d v="2025-05-28T00:00:00"/>
    <n v="0.97"/>
    <n v="1.1870000000000001"/>
    <n v="1.536"/>
    <n v="28"/>
    <x v="4"/>
    <x v="28"/>
    <x v="4"/>
    <n v="537.6"/>
    <n v="513.45000000000005"/>
    <n v="527.1"/>
    <n v="474.25"/>
    <n v="537.6"/>
    <n v="0.94"/>
    <x v="0"/>
  </r>
  <r>
    <n v="66553"/>
    <n v="25088"/>
    <n v="8291"/>
    <n v="30241"/>
    <n v="2932"/>
    <n v="1.536"/>
    <n v="1.4670000000000001"/>
    <n v="1.506"/>
    <n v="1.355"/>
    <n v="22500"/>
    <n v="0.29583333333333334"/>
    <d v="2025-05-29T00:00:00"/>
    <n v="0.97"/>
    <n v="1.212"/>
    <n v="1.536"/>
    <n v="29"/>
    <x v="4"/>
    <x v="28"/>
    <x v="4"/>
    <n v="537.6"/>
    <n v="513.45000000000005"/>
    <n v="527.1"/>
    <n v="474.25"/>
    <n v="537.6"/>
    <n v="0.94"/>
    <x v="0"/>
  </r>
  <r>
    <n v="66581"/>
    <n v="25100"/>
    <n v="8296"/>
    <n v="30252"/>
    <n v="2932"/>
    <n v="1.536"/>
    <n v="1.4670000000000001"/>
    <n v="1.506"/>
    <n v="1.355"/>
    <n v="22507"/>
    <n v="0.29305555555555557"/>
    <d v="2025-05-30T00:00:00"/>
    <n v="0.95"/>
    <n v="1.129"/>
    <n v="1.536"/>
    <n v="30"/>
    <x v="4"/>
    <x v="28"/>
    <x v="4"/>
    <n v="537.6"/>
    <n v="513.45000000000005"/>
    <n v="527.1"/>
    <n v="474.25"/>
    <n v="537.6"/>
    <n v="0.94"/>
    <x v="0"/>
  </r>
  <r>
    <n v="66609"/>
    <n v="25112"/>
    <n v="8301"/>
    <n v="30263"/>
    <n v="2932"/>
    <n v="1.536"/>
    <n v="1.4670000000000001"/>
    <n v="1.506"/>
    <n v="1.355"/>
    <n v="22514"/>
    <n v="0.3125"/>
    <d v="2025-05-31T00:00:00"/>
    <n v="0.95"/>
    <n v="1.016"/>
    <n v="1.536"/>
    <n v="31"/>
    <x v="4"/>
    <x v="28"/>
    <x v="4"/>
    <n v="537.6"/>
    <n v="513.45000000000005"/>
    <n v="527.1"/>
    <n v="474.25"/>
    <n v="537.6"/>
    <n v="0.94"/>
    <x v="0"/>
  </r>
  <r>
    <n v="66638"/>
    <n v="25125"/>
    <n v="8306"/>
    <n v="30275"/>
    <n v="2932"/>
    <n v="1.536"/>
    <n v="1.4670000000000001"/>
    <n v="1.506"/>
    <n v="1.355"/>
    <n v="22522"/>
    <n v="0.2986111111111111"/>
    <d v="2025-06-01T00:00:00"/>
    <n v="0.98"/>
    <n v="1.03"/>
    <n v="1.536"/>
    <n v="1"/>
    <x v="5"/>
    <x v="9"/>
    <x v="5"/>
    <n v="537.6"/>
    <n v="513.45000000000005"/>
    <n v="527.1"/>
    <n v="474.25"/>
    <n v="537.6"/>
    <n v="0.94"/>
    <x v="0"/>
  </r>
  <r>
    <n v="66667"/>
    <n v="25125"/>
    <n v="8306"/>
    <n v="30298"/>
    <n v="2936"/>
    <n v="1.536"/>
    <n v="1.4670000000000001"/>
    <n v="1.506"/>
    <n v="1.355"/>
    <n v="22531"/>
    <n v="0.29236111111111113"/>
    <d v="2025-06-02T00:00:00"/>
    <n v="0.92"/>
    <n v="1.1850000000000001"/>
    <n v="1.536"/>
    <n v="2"/>
    <x v="5"/>
    <x v="9"/>
    <x v="5"/>
    <n v="537.6"/>
    <n v="513.45000000000005"/>
    <n v="527.1"/>
    <n v="474.25"/>
    <n v="537.6"/>
    <n v="0.94"/>
    <x v="0"/>
  </r>
  <r>
    <n v="66694"/>
    <n v="25125"/>
    <n v="8306"/>
    <n v="30321"/>
    <n v="2941"/>
    <n v="1.536"/>
    <n v="1.4670000000000001"/>
    <n v="1.506"/>
    <n v="1.355"/>
    <n v="225339"/>
    <n v="0.29444444444444445"/>
    <d v="2025-06-03T00:00:00"/>
    <n v="0.94"/>
    <n v="1.056"/>
    <n v="1.536"/>
    <n v="3"/>
    <x v="5"/>
    <x v="9"/>
    <x v="5"/>
    <n v="537.6"/>
    <n v="513.45000000000005"/>
    <n v="527.1"/>
    <n v="474.25"/>
    <n v="537.6"/>
    <n v="0.94"/>
    <x v="0"/>
  </r>
  <r>
    <n v="66723"/>
    <n v="25137"/>
    <n v="8311"/>
    <n v="30333"/>
    <n v="2941"/>
    <n v="0"/>
    <n v="0"/>
    <n v="1.238"/>
    <n v="0"/>
    <n v="22547"/>
    <d v="1899-12-30T07:06:00"/>
    <d v="2025-07-01T00:00:00"/>
    <n v="0.96"/>
    <n v="1.1020000000000001"/>
    <n v="1.238"/>
    <n v="1"/>
    <x v="6"/>
    <x v="10"/>
    <x v="6"/>
    <n v="0"/>
    <n v="0"/>
    <n v="433.3"/>
    <n v="0"/>
    <n v="433.3"/>
    <n v="0.94"/>
    <x v="0"/>
  </r>
  <r>
    <n v="66751"/>
    <n v="25150"/>
    <n v="8315"/>
    <n v="30344"/>
    <n v="2941"/>
    <n v="1.375"/>
    <n v="1.389"/>
    <n v="1.268"/>
    <n v="0"/>
    <n v="22555"/>
    <d v="1899-12-30T07:20:00"/>
    <d v="2025-07-02T00:00:00"/>
    <n v="0.98"/>
    <n v="9.6999999999999993"/>
    <n v="1.389"/>
    <n v="2"/>
    <x v="6"/>
    <x v="10"/>
    <x v="6"/>
    <n v="481.25"/>
    <n v="486.15"/>
    <n v="443.8"/>
    <n v="0"/>
    <n v="486.15"/>
    <n v="0.94"/>
    <x v="0"/>
  </r>
  <r>
    <n v="66780"/>
    <n v="25162"/>
    <n v="8320"/>
    <n v="30355"/>
    <n v="2941"/>
    <n v="1.4550000000000001"/>
    <n v="1.3919999999999999"/>
    <n v="1.28"/>
    <n v="0"/>
    <n v="22562"/>
    <d v="1899-12-30T07:17:00"/>
    <d v="2025-07-03T00:00:00"/>
    <n v="0.94"/>
    <n v="1.137"/>
    <n v="1.4550000000000001"/>
    <n v="3"/>
    <x v="6"/>
    <x v="10"/>
    <x v="6"/>
    <n v="509.25"/>
    <n v="487.2"/>
    <n v="448"/>
    <n v="0"/>
    <n v="509.25"/>
    <n v="0.94"/>
    <x v="0"/>
  </r>
  <r>
    <n v="66799"/>
    <n v="25170"/>
    <n v="8320"/>
    <n v="30366"/>
    <n v="2941"/>
    <n v="1.4550000000000001"/>
    <n v="1.3919999999999999"/>
    <n v="1.49"/>
    <n v="0"/>
    <n v="22570"/>
    <d v="1899-12-30T07:03:00"/>
    <d v="2025-07-04T00:00:00"/>
    <n v="0.84"/>
    <n v="1.198"/>
    <n v="1.49"/>
    <n v="4"/>
    <x v="6"/>
    <x v="10"/>
    <x v="6"/>
    <n v="509.25"/>
    <n v="487.2"/>
    <n v="521.5"/>
    <n v="0"/>
    <n v="521.5"/>
    <n v="0.94"/>
    <x v="0"/>
  </r>
  <r>
    <n v="66817"/>
    <n v="25176"/>
    <n v="8320"/>
    <n v="30378"/>
    <n v="2941"/>
    <n v="1.4550000000000001"/>
    <n v="1.3919999999999999"/>
    <n v="1.49"/>
    <n v="0"/>
    <n v="22575"/>
    <d v="1899-12-30T07:00:00"/>
    <d v="2025-07-05T00:00:00"/>
    <n v="0.93"/>
    <n v="1.2450000000000001"/>
    <n v="1.49"/>
    <n v="5"/>
    <x v="6"/>
    <x v="10"/>
    <x v="6"/>
    <n v="509.25"/>
    <n v="487.2"/>
    <n v="521.5"/>
    <n v="0"/>
    <n v="521.5"/>
    <n v="0.94"/>
    <x v="0"/>
  </r>
  <r>
    <n v="66844"/>
    <n v="25176"/>
    <n v="8320"/>
    <n v="30401"/>
    <n v="2946"/>
    <n v="1.4550000000000001"/>
    <n v="1.3919999999999999"/>
    <n v="1.49"/>
    <n v="1.2889999999999999"/>
    <n v="22584"/>
    <d v="1899-12-30T07:01:00"/>
    <d v="2025-07-06T00:00:00"/>
    <n v="0.96"/>
    <n v="1.05"/>
    <n v="1.49"/>
    <n v="6"/>
    <x v="6"/>
    <x v="29"/>
    <x v="6"/>
    <n v="509.25"/>
    <n v="487.2"/>
    <n v="521.5"/>
    <n v="451.15"/>
    <n v="521.5"/>
    <n v="0.94"/>
    <x v="0"/>
  </r>
  <r>
    <n v="66873"/>
    <n v="25176"/>
    <n v="8320"/>
    <n v="30424"/>
    <n v="2951"/>
    <n v="1.4550000000000001"/>
    <n v="1.3919999999999999"/>
    <n v="1.49"/>
    <n v="1.3089999999999999"/>
    <n v="22593"/>
    <d v="1899-12-30T07:07:00"/>
    <d v="2025-07-07T00:00:00"/>
    <n v="0.96"/>
    <n v="1.0620000000000001"/>
    <n v="1.49"/>
    <n v="7"/>
    <x v="6"/>
    <x v="29"/>
    <x v="6"/>
    <n v="509.25"/>
    <n v="487.2"/>
    <n v="521.5"/>
    <n v="458.15"/>
    <n v="521.5"/>
    <n v="0.94"/>
    <x v="0"/>
  </r>
  <r>
    <n v="66900"/>
    <n v="25188"/>
    <n v="8325"/>
    <n v="30436"/>
    <n v="2951"/>
    <n v="1.4550000000000001"/>
    <n v="1.3919999999999999"/>
    <n v="1.49"/>
    <n v="1.3089999999999999"/>
    <n v="22601"/>
    <d v="1899-12-30T07:09:00"/>
    <d v="2025-07-08T00:00:00"/>
    <n v="0.96"/>
    <n v="1.1850000000000001"/>
    <n v="1.49"/>
    <n v="8"/>
    <x v="6"/>
    <x v="29"/>
    <x v="6"/>
    <n v="509.25"/>
    <n v="487.2"/>
    <n v="521.5"/>
    <n v="458.15"/>
    <n v="521.5"/>
    <n v="0.94"/>
    <x v="0"/>
  </r>
  <r>
    <n v="66995"/>
    <n v="25193"/>
    <n v="8330"/>
    <n v="30451"/>
    <n v="2951"/>
    <n v="1.4550000000000001"/>
    <n v="1.3919999999999999"/>
    <n v="1.49"/>
    <n v="1.3089999999999999"/>
    <n v="22613"/>
    <d v="1899-12-30T07:20:00"/>
    <d v="2025-07-09T00:00:00"/>
    <n v="0.96"/>
    <n v="1.1910000000000001"/>
    <n v="1.49"/>
    <n v="9"/>
    <x v="6"/>
    <x v="29"/>
    <x v="6"/>
    <n v="509.25"/>
    <n v="487.2"/>
    <n v="521.5"/>
    <n v="458.15"/>
    <n v="521.5"/>
    <n v="0.94"/>
    <x v="0"/>
  </r>
  <r>
    <n v="66955"/>
    <n v="25212"/>
    <n v="8334"/>
    <n v="30457"/>
    <n v="2951"/>
    <n v="1.4550000000000001"/>
    <n v="1.3919999999999999"/>
    <n v="1.49"/>
    <n v="1.3089999999999999"/>
    <n v="22615"/>
    <d v="1899-12-30T07:15:00"/>
    <d v="2025-07-10T00:00:00"/>
    <n v="0.96"/>
    <n v="9.6"/>
    <n v="1.49"/>
    <n v="10"/>
    <x v="6"/>
    <x v="29"/>
    <x v="6"/>
    <n v="509.25"/>
    <n v="487.2"/>
    <n v="521.5"/>
    <n v="458.15"/>
    <n v="521.5"/>
    <n v="0.94"/>
    <x v="0"/>
  </r>
  <r>
    <n v="66982"/>
    <n v="25224"/>
    <n v="8338"/>
    <n v="30468"/>
    <n v="2951"/>
    <n v="1.4550000000000001"/>
    <n v="1.3919999999999999"/>
    <n v="1.49"/>
    <n v="1.3089999999999999"/>
    <n v="22622"/>
    <d v="1899-12-30T07:08:00"/>
    <d v="2025-07-11T00:00:00"/>
    <n v="0.95"/>
    <n v="1.1200000000000001"/>
    <n v="1.49"/>
    <n v="11"/>
    <x v="6"/>
    <x v="29"/>
    <x v="6"/>
    <n v="509.25"/>
    <n v="487.2"/>
    <n v="521.5"/>
    <n v="458.15"/>
    <n v="521.5"/>
    <n v="0.94"/>
    <x v="0"/>
  </r>
  <r>
    <n v="67010"/>
    <n v="25236"/>
    <n v="8343"/>
    <n v="30479"/>
    <n v="2951"/>
    <n v="1.4550000000000001"/>
    <n v="1.3919999999999999"/>
    <n v="1.49"/>
    <n v="1.3089999999999999"/>
    <n v="22629"/>
    <d v="1899-12-30T07:04:00"/>
    <d v="2025-07-12T00:00:00"/>
    <n v="0.92"/>
    <n v="1.069"/>
    <n v="1.49"/>
    <n v="12"/>
    <x v="6"/>
    <x v="29"/>
    <x v="6"/>
    <n v="509.25"/>
    <n v="487.2"/>
    <n v="521.5"/>
    <n v="458.15"/>
    <n v="521.5"/>
    <n v="0.94"/>
    <x v="0"/>
  </r>
  <r>
    <n v="67024"/>
    <n v="25236"/>
    <n v="8343"/>
    <n v="30508"/>
    <n v="2951"/>
    <n v="1.4550000000000001"/>
    <n v="1.3919999999999999"/>
    <n v="1.49"/>
    <n v="1.3129999999999999"/>
    <n v="22636"/>
    <d v="1899-12-30T07:15:00"/>
    <d v="2025-07-13T00:00:00"/>
    <n v="0.96"/>
    <n v="1.125"/>
    <n v="1.49"/>
    <n v="13"/>
    <x v="6"/>
    <x v="30"/>
    <x v="6"/>
    <n v="509.25"/>
    <n v="487.2"/>
    <n v="521.5"/>
    <n v="459.54999999999995"/>
    <n v="521.5"/>
    <n v="0.94"/>
    <x v="0"/>
  </r>
  <r>
    <n v="67065"/>
    <n v="25236"/>
    <n v="8343"/>
    <n v="30525"/>
    <n v="2960"/>
    <n v="1.4550000000000001"/>
    <n v="1.3919999999999999"/>
    <n v="1.49"/>
    <n v="1.3129999999999999"/>
    <n v="22647"/>
    <d v="1899-12-30T08:33:00"/>
    <d v="2025-07-14T00:00:00"/>
    <n v="0.92"/>
    <n v="1.0109999999999999"/>
    <n v="1.49"/>
    <n v="14"/>
    <x v="6"/>
    <x v="30"/>
    <x v="6"/>
    <n v="509.25"/>
    <n v="487.2"/>
    <n v="521.5"/>
    <n v="459.54999999999995"/>
    <n v="521.5"/>
    <n v="0.94"/>
    <x v="0"/>
  </r>
  <r>
    <n v="67090"/>
    <n v="25247"/>
    <n v="8348"/>
    <n v="30535"/>
    <n v="2960"/>
    <n v="1.4550000000000001"/>
    <n v="1.3919999999999999"/>
    <n v="1.49"/>
    <n v="1.3129999999999999"/>
    <n v="22654"/>
    <d v="1899-12-30T07:03:00"/>
    <d v="2025-07-15T00:00:00"/>
    <n v="0.97"/>
    <n v="9.67"/>
    <n v="1.49"/>
    <n v="15"/>
    <x v="6"/>
    <x v="30"/>
    <x v="6"/>
    <n v="509.25"/>
    <n v="487.2"/>
    <n v="521.5"/>
    <n v="459.54999999999995"/>
    <n v="521.5"/>
    <n v="0.94"/>
    <x v="0"/>
  </r>
  <r>
    <n v="67118"/>
    <n v="25259"/>
    <n v="8353"/>
    <n v="30546"/>
    <n v="2960"/>
    <n v="1.4550000000000001"/>
    <n v="1.3919999999999999"/>
    <n v="1.49"/>
    <n v="1.3129999999999999"/>
    <n v="22661"/>
    <d v="1899-12-30T07:14:00"/>
    <d v="2025-07-16T00:00:00"/>
    <n v="0.96"/>
    <n v="1.0589999999999999"/>
    <n v="1.49"/>
    <n v="16"/>
    <x v="6"/>
    <x v="30"/>
    <x v="6"/>
    <n v="509.25"/>
    <n v="487.2"/>
    <n v="521.5"/>
    <n v="459.54999999999995"/>
    <n v="521.5"/>
    <n v="0.94"/>
    <x v="0"/>
  </r>
  <r>
    <n v="67146"/>
    <n v="25272"/>
    <n v="8357"/>
    <n v="30557"/>
    <n v="2960"/>
    <n v="1.4550000000000001"/>
    <n v="1.3919999999999999"/>
    <n v="1.49"/>
    <n v="1.3129999999999999"/>
    <n v="22669"/>
    <d v="1899-12-30T07:07:00"/>
    <d v="2025-07-17T00:00:00"/>
    <n v="0.94"/>
    <n v="1.1759999999999999"/>
    <n v="1.49"/>
    <n v="17"/>
    <x v="6"/>
    <x v="30"/>
    <x v="6"/>
    <n v="509.25"/>
    <n v="487.2"/>
    <n v="521.5"/>
    <n v="459.54999999999995"/>
    <n v="521.5"/>
    <n v="0.94"/>
    <x v="0"/>
  </r>
  <r>
    <n v="67174"/>
    <n v="25284"/>
    <n v="8362"/>
    <n v="30568"/>
    <n v="2960"/>
    <n v="1.4550000000000001"/>
    <n v="1.3919999999999999"/>
    <n v="1.49"/>
    <n v="1.3129999999999999"/>
    <n v="22676"/>
    <d v="1899-12-30T07:50:00"/>
    <d v="2025-07-18T00:00:00"/>
    <n v="0.98"/>
    <n v="1.153"/>
    <n v="1.49"/>
    <n v="18"/>
    <x v="6"/>
    <x v="30"/>
    <x v="6"/>
    <n v="509.25"/>
    <n v="487.2"/>
    <n v="521.5"/>
    <n v="459.54999999999995"/>
    <n v="521.5"/>
    <n v="0.94"/>
    <x v="0"/>
  </r>
  <r>
    <n v="67201"/>
    <n v="25295"/>
    <n v="8366"/>
    <n v="30578"/>
    <n v="2960"/>
    <n v="1.4550000000000001"/>
    <n v="1.3919999999999999"/>
    <n v="1.49"/>
    <n v="1.3129999999999999"/>
    <n v="22683"/>
    <d v="1899-12-30T07:01:00"/>
    <d v="2025-07-19T00:00:00"/>
    <n v="0.94"/>
    <n v="1.0449999999999999"/>
    <n v="1.49"/>
    <n v="19"/>
    <x v="6"/>
    <x v="30"/>
    <x v="6"/>
    <n v="509.25"/>
    <n v="487.2"/>
    <n v="521.5"/>
    <n v="459.54999999999995"/>
    <n v="521.5"/>
    <n v="0.94"/>
    <x v="0"/>
  </r>
  <r>
    <n v="67231"/>
    <n v="25295"/>
    <n v="8366"/>
    <n v="30604"/>
    <n v="2964"/>
    <n v="1.4550000000000001"/>
    <n v="1.3919999999999999"/>
    <n v="1.49"/>
    <n v="1.3129999999999999"/>
    <n v="22693"/>
    <d v="1899-12-30T14:35:00"/>
    <d v="2025-07-20T00:00:00"/>
    <n v="0.87"/>
    <n v="1.1379999999999999"/>
    <n v="1.49"/>
    <n v="20"/>
    <x v="6"/>
    <x v="31"/>
    <x v="6"/>
    <n v="509.25"/>
    <n v="487.2"/>
    <n v="521.5"/>
    <n v="459.54999999999995"/>
    <n v="521.5"/>
    <n v="0.94"/>
    <x v="0"/>
  </r>
  <r>
    <n v="67249"/>
    <n v="25295"/>
    <n v="8366"/>
    <n v="30617"/>
    <n v="2969"/>
    <n v="1.4550000000000001"/>
    <n v="1.3919999999999999"/>
    <n v="1.49"/>
    <n v="1.39"/>
    <n v="2700"/>
    <d v="1899-12-30T07:08:00"/>
    <d v="2025-07-21T00:00:00"/>
    <n v="0.95"/>
    <n v="1.1779999999999999"/>
    <n v="1.49"/>
    <n v="21"/>
    <x v="6"/>
    <x v="31"/>
    <x v="6"/>
    <n v="509.25"/>
    <n v="487.2"/>
    <n v="521.5"/>
    <n v="486.49999999999994"/>
    <n v="521.5"/>
    <n v="0.94"/>
    <x v="0"/>
  </r>
  <r>
    <n v="67276"/>
    <n v="25307"/>
    <n v="8371"/>
    <n v="30627"/>
    <n v="2969"/>
    <n v="1.4550000000000001"/>
    <n v="1.3919999999999999"/>
    <n v="1.49"/>
    <n v="1.39"/>
    <n v="22707"/>
    <d v="1899-12-30T06:37:00"/>
    <d v="2025-07-22T00:00:00"/>
    <n v="0.96"/>
    <n v="1.05"/>
    <n v="1.49"/>
    <n v="22"/>
    <x v="6"/>
    <x v="31"/>
    <x v="6"/>
    <n v="509.25"/>
    <n v="487.2"/>
    <n v="521.5"/>
    <n v="486.49999999999994"/>
    <n v="521.5"/>
    <n v="0.94"/>
    <x v="0"/>
  </r>
  <r>
    <n v="67301"/>
    <n v="25318"/>
    <n v="8376"/>
    <n v="30638"/>
    <n v="2969"/>
    <n v="1.4550000000000001"/>
    <n v="1.3919999999999999"/>
    <n v="1.49"/>
    <n v="1.39"/>
    <n v="22713"/>
    <d v="1899-12-30T06:28:00"/>
    <d v="2025-07-23T00:00:00"/>
    <n v="0.98"/>
    <n v="7.81"/>
    <n v="1.49"/>
    <n v="23"/>
    <x v="6"/>
    <x v="31"/>
    <x v="6"/>
    <n v="509.25"/>
    <n v="487.2"/>
    <n v="521.5"/>
    <n v="486.49999999999994"/>
    <n v="521.5"/>
    <n v="0.94"/>
    <x v="0"/>
  </r>
  <r>
    <n v="67328"/>
    <n v="25330"/>
    <n v="8380"/>
    <n v="30648"/>
    <n v="2969"/>
    <n v="1.4550000000000001"/>
    <n v="1.3919999999999999"/>
    <n v="1.49"/>
    <n v="1.39"/>
    <n v="22719"/>
    <d v="1899-12-30T06:55:00"/>
    <d v="2025-07-24T00:00:00"/>
    <n v="0.96"/>
    <n v="1.0249999999999999"/>
    <n v="1.49"/>
    <n v="24"/>
    <x v="6"/>
    <x v="31"/>
    <x v="6"/>
    <n v="509.25"/>
    <n v="487.2"/>
    <n v="521.5"/>
    <n v="486.49999999999994"/>
    <n v="521.5"/>
    <n v="0.94"/>
    <x v="0"/>
  </r>
  <r>
    <n v="67355"/>
    <n v="25342"/>
    <n v="8385"/>
    <n v="30659"/>
    <n v="2969"/>
    <n v="1.4550000000000001"/>
    <n v="1.3919999999999999"/>
    <n v="1.49"/>
    <n v="1.39"/>
    <n v="22726"/>
    <d v="1899-12-30T07:50:00"/>
    <d v="2025-07-25T00:00:00"/>
    <n v="0.98"/>
    <n v="7.94"/>
    <n v="1.49"/>
    <n v="25"/>
    <x v="6"/>
    <x v="31"/>
    <x v="6"/>
    <n v="509.25"/>
    <n v="487.2"/>
    <n v="521.5"/>
    <n v="486.49999999999994"/>
    <n v="521.5"/>
    <n v="0.94"/>
    <x v="0"/>
  </r>
  <r>
    <n v="67382"/>
    <n v="25353"/>
    <n v="8389"/>
    <n v="30669"/>
    <n v="2969"/>
    <n v="1.4550000000000001"/>
    <n v="1.3919999999999999"/>
    <n v="1.49"/>
    <n v="1.39"/>
    <n v="22733"/>
    <d v="1899-12-30T07:10:00"/>
    <d v="2025-07-26T00:00:00"/>
    <n v="0.95"/>
    <n v="1.02"/>
    <n v="1.49"/>
    <n v="26"/>
    <x v="6"/>
    <x v="31"/>
    <x v="6"/>
    <n v="509.25"/>
    <n v="487.2"/>
    <n v="521.5"/>
    <n v="486.49999999999994"/>
    <n v="521.5"/>
    <n v="0.94"/>
    <x v="0"/>
  </r>
  <r>
    <n v="67408"/>
    <n v="25353"/>
    <n v="8389"/>
    <n v="30691"/>
    <n v="2973"/>
    <n v="1.4550000000000001"/>
    <n v="1.3919999999999999"/>
    <n v="1.49"/>
    <n v="1.39"/>
    <n v="22743"/>
    <d v="1899-12-30T07:03:00"/>
    <d v="2025-07-27T00:00:00"/>
    <n v="0.94"/>
    <n v="9.1199999999999992"/>
    <n v="1.49"/>
    <n v="27"/>
    <x v="6"/>
    <x v="11"/>
    <x v="6"/>
    <n v="509.25"/>
    <n v="487.2"/>
    <n v="521.5"/>
    <n v="486.49999999999994"/>
    <n v="521.5"/>
    <n v="0.94"/>
    <x v="0"/>
  </r>
  <r>
    <n v="67434"/>
    <n v="25353"/>
    <n v="8389"/>
    <n v="30713"/>
    <n v="2977"/>
    <n v="1.4550000000000001"/>
    <n v="1.3919999999999999"/>
    <n v="1.49"/>
    <n v="1.39"/>
    <n v="22749"/>
    <d v="1899-12-30T07:07:00"/>
    <d v="2025-07-28T00:00:00"/>
    <n v="0.96"/>
    <n v="9.59"/>
    <n v="1.49"/>
    <n v="28"/>
    <x v="6"/>
    <x v="11"/>
    <x v="6"/>
    <n v="509.25"/>
    <n v="487.2"/>
    <n v="521.5"/>
    <n v="486.49999999999994"/>
    <n v="521.5"/>
    <n v="0.94"/>
    <x v="0"/>
  </r>
  <r>
    <n v="67462"/>
    <n v="25365"/>
    <n v="8394"/>
    <n v="30724"/>
    <n v="2977"/>
    <n v="1.4550000000000001"/>
    <n v="1.3919999999999999"/>
    <n v="1.49"/>
    <n v="1.39"/>
    <n v="22757"/>
    <d v="1899-12-30T07:00:00"/>
    <d v="2025-07-29T00:00:00"/>
    <n v="0.96"/>
    <n v="1.07"/>
    <n v="1.49"/>
    <n v="29"/>
    <x v="6"/>
    <x v="11"/>
    <x v="6"/>
    <n v="509.25"/>
    <n v="487.2"/>
    <n v="521.5"/>
    <n v="486.49999999999994"/>
    <n v="521.5"/>
    <n v="0.94"/>
    <x v="0"/>
  </r>
  <r>
    <n v="67489"/>
    <n v="25377"/>
    <n v="8399"/>
    <n v="30734"/>
    <n v="2977"/>
    <n v="1.4550000000000001"/>
    <n v="1.3919999999999999"/>
    <n v="1.49"/>
    <n v="1.39"/>
    <n v="22765"/>
    <d v="1899-12-30T06:28:00"/>
    <d v="2025-07-30T00:00:00"/>
    <n v="0.95"/>
    <n v="1.1220000000000001"/>
    <n v="1.49"/>
    <n v="30"/>
    <x v="6"/>
    <x v="11"/>
    <x v="6"/>
    <n v="509.25"/>
    <n v="487.2"/>
    <n v="521.5"/>
    <n v="486.49999999999994"/>
    <n v="521.5"/>
    <n v="0.94"/>
    <x v="0"/>
  </r>
  <r>
    <n v="64518"/>
    <n v="25389"/>
    <n v="8404"/>
    <n v="30746"/>
    <n v="2977"/>
    <n v="1.4550000000000001"/>
    <n v="1.3919999999999999"/>
    <n v="1.49"/>
    <n v="1.39"/>
    <n v="22774"/>
    <d v="1899-12-30T06:32:00"/>
    <d v="2025-07-31T00:00:00"/>
    <n v="0.97"/>
    <n v="1.101"/>
    <n v="1.49"/>
    <n v="31"/>
    <x v="6"/>
    <x v="11"/>
    <x v="6"/>
    <n v="509.25"/>
    <n v="487.2"/>
    <n v="521.5"/>
    <n v="486.49999999999994"/>
    <n v="521.5"/>
    <n v="0.94"/>
    <x v="0"/>
  </r>
  <r>
    <n v="67548"/>
    <n v="25402"/>
    <n v="8409"/>
    <n v="30768"/>
    <n v="2977"/>
    <n v="0"/>
    <n v="0"/>
    <n v="1.2250000000000001"/>
    <n v="0"/>
    <n v="22783"/>
    <d v="1899-12-30T07:00:00"/>
    <d v="2025-08-01T00:00:00"/>
    <n v="0.97"/>
    <n v="1.173"/>
    <n v="1.2250000000000001"/>
    <n v="1"/>
    <x v="7"/>
    <x v="11"/>
    <x v="7"/>
    <n v="0"/>
    <n v="0"/>
    <n v="428.75000000000006"/>
    <n v="0"/>
    <n v="428.75000000000006"/>
    <n v="0.94"/>
    <x v="0"/>
  </r>
  <r>
    <n v="67575"/>
    <n v="25414"/>
    <n v="8413"/>
    <n v="30769"/>
    <n v="2977"/>
    <n v="1.3640000000000001"/>
    <n v="1.3109999999999999"/>
    <n v="1.282"/>
    <n v="0"/>
    <n v="22791"/>
    <d v="1899-12-30T07:00:00"/>
    <d v="2025-08-02T00:00:00"/>
    <n v="0.94"/>
    <n v="1.0940000000000001"/>
    <n v="1.3640000000000001"/>
    <n v="2"/>
    <x v="7"/>
    <x v="11"/>
    <x v="7"/>
    <n v="477.40000000000003"/>
    <n v="458.84999999999997"/>
    <n v="448.7"/>
    <n v="0"/>
    <n v="477.40000000000003"/>
    <n v="0.94"/>
    <x v="0"/>
  </r>
  <r>
    <n v="67604"/>
    <n v="25414"/>
    <n v="8413"/>
    <n v="30792"/>
    <n v="2982"/>
    <n v="1.3640000000000001"/>
    <n v="1.3109999999999999"/>
    <n v="1.371"/>
    <n v="1.3480000000000001"/>
    <n v="22800"/>
    <d v="1899-12-30T07:00:00"/>
    <d v="2025-08-03T00:00:00"/>
    <n v="0.94"/>
    <n v="1.105"/>
    <n v="1.371"/>
    <n v="3"/>
    <x v="7"/>
    <x v="19"/>
    <x v="7"/>
    <n v="477.40000000000003"/>
    <n v="458.84999999999997"/>
    <n v="479.85"/>
    <n v="471.8"/>
    <n v="479.85"/>
    <n v="0.94"/>
    <x v="0"/>
  </r>
  <r>
    <n v="24"/>
    <n v="0"/>
    <n v="0"/>
    <n v="19"/>
    <n v="4"/>
    <n v="0.31"/>
    <n v="0"/>
    <n v="1.4279999999999999"/>
    <n v="1.3480000000000001"/>
    <n v="10"/>
    <d v="1899-12-30T07:00:00"/>
    <d v="2025-08-04T00:00:00"/>
    <n v="0.94"/>
    <n v="8.14"/>
    <n v="1.4279999999999999"/>
    <n v="4"/>
    <x v="7"/>
    <x v="19"/>
    <x v="7"/>
    <n v="108.5"/>
    <n v="0"/>
    <n v="499.79999999999995"/>
    <n v="471.8"/>
    <n v="499.79999999999995"/>
    <n v="0.94"/>
    <x v="0"/>
  </r>
  <r>
    <n v="24"/>
    <n v="0"/>
    <n v="0"/>
    <n v="19"/>
    <n v="4"/>
    <n v="0.31"/>
    <n v="0"/>
    <n v="1.4279999999999999"/>
    <n v="1.3180000000000001"/>
    <n v="10"/>
    <d v="1899-12-30T08:22:00"/>
    <d v="2025-08-05T00:00:00"/>
    <n v="0.94"/>
    <n v="8.14"/>
    <n v="1.4279999999999999"/>
    <n v="5"/>
    <x v="7"/>
    <x v="19"/>
    <x v="7"/>
    <n v="108.5"/>
    <n v="0"/>
    <n v="499.79999999999995"/>
    <n v="461.3"/>
    <n v="499.79999999999995"/>
    <n v="0.94"/>
    <x v="0"/>
  </r>
  <r>
    <n v="77"/>
    <n v="23"/>
    <n v="9"/>
    <n v="39"/>
    <n v="4"/>
    <n v="1.3180000000000001"/>
    <n v="1.361"/>
    <n v="1.4279999999999999"/>
    <n v="1.3180000000000001"/>
    <n v="26"/>
    <d v="1899-12-30T06:45:00"/>
    <d v="2025-08-06T00:00:00"/>
    <n v="0.95"/>
    <n v="1.0780000000000001"/>
    <n v="1.4279999999999999"/>
    <n v="6"/>
    <x v="7"/>
    <x v="19"/>
    <x v="7"/>
    <n v="461.3"/>
    <n v="476.35"/>
    <n v="499.79999999999995"/>
    <n v="461.3"/>
    <n v="499.79999999999995"/>
    <n v="0.94"/>
    <x v="0"/>
  </r>
  <r>
    <n v="104"/>
    <n v="35"/>
    <n v="13"/>
    <n v="50"/>
    <n v="4"/>
    <n v="1.377"/>
    <n v="1.361"/>
    <n v="1.4279999999999999"/>
    <n v="1.3180000000000001"/>
    <n v="35"/>
    <d v="1899-12-30T06:42:00"/>
    <d v="2025-08-07T00:00:00"/>
    <n v="0.94"/>
    <n v="1.0580000000000001"/>
    <n v="1.4279999999999999"/>
    <n v="7"/>
    <x v="7"/>
    <x v="19"/>
    <x v="7"/>
    <n v="481.95"/>
    <n v="476.35"/>
    <n v="499.79999999999995"/>
    <n v="461.3"/>
    <n v="499.79999999999995"/>
    <n v="0.94"/>
    <x v="0"/>
  </r>
  <r>
    <n v="133"/>
    <n v="47"/>
    <n v="18"/>
    <n v="62"/>
    <n v="4"/>
    <n v="1.4359999999999999"/>
    <n v="1.361"/>
    <n v="1.4279999999999999"/>
    <n v="1.3180000000000001"/>
    <n v="44"/>
    <d v="1899-12-30T06:52:00"/>
    <d v="2025-08-08T00:00:00"/>
    <n v="0.96"/>
    <n v="1.1120000000000001"/>
    <n v="1.4359999999999999"/>
    <n v="8"/>
    <x v="7"/>
    <x v="19"/>
    <x v="7"/>
    <n v="502.59999999999997"/>
    <n v="476.35"/>
    <n v="499.79999999999995"/>
    <n v="461.3"/>
    <n v="502.59999999999997"/>
    <n v="0.94"/>
    <x v="0"/>
  </r>
  <r>
    <n v="160"/>
    <n v="59"/>
    <n v="23"/>
    <n v="73"/>
    <n v="4"/>
    <n v="1.4359999999999999"/>
    <n v="1.361"/>
    <n v="1.4279999999999999"/>
    <n v="1.3180000000000001"/>
    <n v="52"/>
    <d v="1899-12-30T06:49:00"/>
    <d v="2025-08-09T00:00:00"/>
    <n v="0.95"/>
    <n v="1.048"/>
    <n v="1.4359999999999999"/>
    <n v="9"/>
    <x v="7"/>
    <x v="19"/>
    <x v="7"/>
    <n v="502.59999999999997"/>
    <n v="476.35"/>
    <n v="499.79999999999995"/>
    <n v="461.3"/>
    <n v="502.59999999999997"/>
    <n v="0.94"/>
    <x v="0"/>
  </r>
  <r>
    <n v="188"/>
    <n v="59"/>
    <n v="23"/>
    <n v="96"/>
    <n v="9"/>
    <n v="1.4359999999999999"/>
    <n v="1.361"/>
    <n v="1.4279999999999999"/>
    <n v="1.3180000000000001"/>
    <n v="61"/>
    <d v="1899-12-30T06:58:00"/>
    <d v="2025-08-10T00:00:00"/>
    <n v="0.94"/>
    <n v="8.74"/>
    <n v="1.4359999999999999"/>
    <n v="10"/>
    <x v="7"/>
    <x v="32"/>
    <x v="7"/>
    <n v="502.59999999999997"/>
    <n v="476.35"/>
    <n v="499.79999999999995"/>
    <n v="461.3"/>
    <n v="502.59999999999997"/>
    <n v="0.94"/>
    <x v="0"/>
  </r>
  <r>
    <n v="215"/>
    <n v="59"/>
    <n v="23"/>
    <n v="118"/>
    <n v="13"/>
    <n v="1.4359999999999999"/>
    <n v="1.361"/>
    <n v="1.4279999999999999"/>
    <n v="1.3180000000000001"/>
    <n v="70"/>
    <d v="1899-12-30T06:47:00"/>
    <d v="2025-08-11T00:00:00"/>
    <n v="0.95"/>
    <n v="1.179"/>
    <n v="1.4359999999999999"/>
    <n v="11"/>
    <x v="7"/>
    <x v="32"/>
    <x v="7"/>
    <n v="502.59999999999997"/>
    <n v="476.35"/>
    <n v="499.79999999999995"/>
    <n v="461.3"/>
    <n v="502.59999999999997"/>
    <n v="0.94"/>
    <x v="0"/>
  </r>
  <r>
    <n v="243"/>
    <n v="71"/>
    <n v="28"/>
    <n v="129"/>
    <n v="13"/>
    <n v="1.4359999999999999"/>
    <n v="1.361"/>
    <n v="1.4279999999999999"/>
    <n v="1.3180000000000001"/>
    <n v="79"/>
    <d v="1899-12-30T07:06:00"/>
    <d v="2025-08-12T00:00:00"/>
    <n v="0.95"/>
    <n v="1.0740000000000001"/>
    <n v="1.4359999999999999"/>
    <n v="12"/>
    <x v="7"/>
    <x v="32"/>
    <x v="7"/>
    <n v="502.59999999999997"/>
    <n v="476.35"/>
    <n v="499.79999999999995"/>
    <n v="461.3"/>
    <n v="502.59999999999997"/>
    <n v="0.94"/>
    <x v="0"/>
  </r>
  <r>
    <n v="270"/>
    <n v="83"/>
    <n v="32"/>
    <n v="140"/>
    <n v="13"/>
    <n v="1.4359999999999999"/>
    <n v="1.361"/>
    <n v="1.4279999999999999"/>
    <n v="1.3180000000000001"/>
    <n v="81"/>
    <d v="1899-12-30T06:36:00"/>
    <d v="2025-08-13T00:00:00"/>
    <n v="0.96"/>
    <n v="1.0620000000000001"/>
    <n v="1.4359999999999999"/>
    <n v="13"/>
    <x v="7"/>
    <x v="32"/>
    <x v="7"/>
    <n v="502.59999999999997"/>
    <n v="476.35"/>
    <n v="499.79999999999995"/>
    <n v="461.3"/>
    <n v="502.59999999999997"/>
    <n v="0.94"/>
    <x v="0"/>
  </r>
  <r>
    <n v="297"/>
    <n v="95"/>
    <n v="37"/>
    <n v="151"/>
    <n v="13"/>
    <n v="1.4359999999999999"/>
    <n v="1.361"/>
    <n v="1.4279999999999999"/>
    <n v="1.3180000000000001"/>
    <n v="95"/>
    <d v="1899-12-30T06:43:00"/>
    <d v="2025-08-14T00:00:00"/>
    <n v="0.94"/>
    <n v="1.1679999999999999"/>
    <n v="1.4359999999999999"/>
    <n v="14"/>
    <x v="7"/>
    <x v="32"/>
    <x v="7"/>
    <n v="502.59999999999997"/>
    <n v="476.35"/>
    <n v="499.79999999999995"/>
    <n v="461.3"/>
    <n v="502.59999999999997"/>
    <n v="0.94"/>
    <x v="0"/>
  </r>
  <r>
    <n v="325"/>
    <n v="107"/>
    <n v="42"/>
    <n v="162"/>
    <n v="13"/>
    <n v="1.4359999999999999"/>
    <n v="1.361"/>
    <n v="1.4279999999999999"/>
    <n v="1.3180000000000001"/>
    <n v="103"/>
    <d v="1899-12-30T06:51:00"/>
    <d v="2025-08-15T00:00:00"/>
    <n v="0.95"/>
    <n v="1.085"/>
    <n v="1.4359999999999999"/>
    <n v="15"/>
    <x v="7"/>
    <x v="32"/>
    <x v="7"/>
    <n v="502.59999999999997"/>
    <n v="476.35"/>
    <n v="499.79999999999995"/>
    <n v="461.3"/>
    <n v="502.59999999999997"/>
    <n v="0.94"/>
    <x v="0"/>
  </r>
  <r>
    <n v="354"/>
    <n v="119"/>
    <n v="47"/>
    <n v="173"/>
    <n v="13"/>
    <n v="1.4359999999999999"/>
    <n v="1.361"/>
    <n v="1.4279999999999999"/>
    <n v="1.3180000000000001"/>
    <n v="112"/>
    <d v="1899-12-30T07:40:00"/>
    <d v="2025-08-16T00:00:00"/>
    <n v="0.95"/>
    <n v="1.143"/>
    <n v="1.4359999999999999"/>
    <n v="16"/>
    <x v="7"/>
    <x v="32"/>
    <x v="7"/>
    <n v="502.59999999999997"/>
    <n v="476.35"/>
    <n v="499.79999999999995"/>
    <n v="461.3"/>
    <n v="502.59999999999997"/>
    <n v="0.94"/>
    <x v="0"/>
  </r>
  <r>
    <n v="382"/>
    <n v="119"/>
    <n v="47"/>
    <n v="196"/>
    <n v="18"/>
    <n v="1.4359999999999999"/>
    <n v="1.361"/>
    <n v="1.4279999999999999"/>
    <n v="1.3180000000000001"/>
    <n v="121"/>
    <d v="1899-12-30T07:00:00"/>
    <d v="2025-08-17T00:00:00"/>
    <n v="0.93"/>
    <n v="1.0049999999999999"/>
    <n v="1.4359999999999999"/>
    <n v="17"/>
    <x v="7"/>
    <x v="33"/>
    <x v="7"/>
    <n v="502.59999999999997"/>
    <n v="476.35"/>
    <n v="499.79999999999995"/>
    <n v="461.3"/>
    <n v="502.59999999999997"/>
    <n v="0.94"/>
    <x v="0"/>
  </r>
  <r>
    <n v="109"/>
    <n v="119"/>
    <n v="47"/>
    <n v="219"/>
    <n v="23"/>
    <n v="1.4359999999999999"/>
    <n v="1.361"/>
    <n v="1.4279999999999999"/>
    <n v="1.3180000000000001"/>
    <n v="131"/>
    <d v="1899-12-30T07:05:00"/>
    <d v="2025-08-18T00:00:00"/>
    <n v="0.93"/>
    <n v="1.101"/>
    <n v="1.4359999999999999"/>
    <n v="18"/>
    <x v="7"/>
    <x v="33"/>
    <x v="7"/>
    <n v="502.59999999999997"/>
    <n v="476.35"/>
    <n v="499.79999999999995"/>
    <n v="461.3"/>
    <n v="502.59999999999997"/>
    <n v="0.94"/>
    <x v="0"/>
  </r>
  <r>
    <n v="436"/>
    <n v="131"/>
    <n v="51"/>
    <n v="230"/>
    <n v="23"/>
    <n v="1.4359999999999999"/>
    <n v="1.361"/>
    <n v="1.4279999999999999"/>
    <n v="1.3180000000000001"/>
    <n v="139"/>
    <d v="1899-12-30T07:02:00"/>
    <d v="2025-08-19T00:00:00"/>
    <n v="0.96"/>
    <n v="1.0109999999999999"/>
    <n v="1.4359999999999999"/>
    <n v="19"/>
    <x v="7"/>
    <x v="33"/>
    <x v="7"/>
    <n v="502.59999999999997"/>
    <n v="476.35"/>
    <n v="499.79999999999995"/>
    <n v="461.3"/>
    <n v="502.59999999999997"/>
    <n v="0.94"/>
    <x v="0"/>
  </r>
  <r>
    <n v="463"/>
    <n v="143"/>
    <n v="56"/>
    <n v="240"/>
    <n v="23"/>
    <n v="1.4359999999999999"/>
    <n v="1.361"/>
    <n v="1.4279999999999999"/>
    <n v="1.3180000000000001"/>
    <n v="148"/>
    <d v="1899-12-30T06:40:00"/>
    <d v="2025-08-20T00:00:00"/>
    <n v="0.93"/>
    <n v="1.03"/>
    <n v="1.4359999999999999"/>
    <n v="20"/>
    <x v="7"/>
    <x v="33"/>
    <x v="7"/>
    <n v="502.59999999999997"/>
    <n v="476.35"/>
    <n v="499.79999999999995"/>
    <n v="461.3"/>
    <n v="502.59999999999997"/>
    <n v="0.94"/>
    <x v="0"/>
  </r>
  <r>
    <n v="491"/>
    <n v="155"/>
    <n v="61"/>
    <n v="251"/>
    <n v="23"/>
    <n v="1.4359999999999999"/>
    <n v="1.361"/>
    <n v="1.4279999999999999"/>
    <n v="1.3180000000000001"/>
    <n v="156"/>
    <d v="1899-12-30T06:27:00"/>
    <d v="2025-08-21T00:00:00"/>
    <n v="0.95"/>
    <n v="1.0469999999999999"/>
    <n v="1.4359999999999999"/>
    <n v="21"/>
    <x v="7"/>
    <x v="33"/>
    <x v="7"/>
    <n v="502.59999999999997"/>
    <n v="476.35"/>
    <n v="499.79999999999995"/>
    <n v="461.3"/>
    <n v="502.59999999999997"/>
    <n v="0.94"/>
    <x v="0"/>
  </r>
  <r>
    <n v="519"/>
    <n v="167"/>
    <n v="65"/>
    <n v="262"/>
    <n v="23"/>
    <n v="1.4359999999999999"/>
    <n v="1.361"/>
    <n v="1.4279999999999999"/>
    <n v="1.3180000000000001"/>
    <n v="164"/>
    <d v="1899-12-30T06:50:00"/>
    <d v="2025-08-22T00:00:00"/>
    <n v="0.94"/>
    <n v="1.163"/>
    <n v="1.4359999999999999"/>
    <n v="22"/>
    <x v="7"/>
    <x v="33"/>
    <x v="7"/>
    <n v="502.59999999999997"/>
    <n v="476.35"/>
    <n v="499.79999999999995"/>
    <n v="461.3"/>
    <n v="502.59999999999997"/>
    <n v="0.94"/>
    <x v="0"/>
  </r>
  <r>
    <n v="547"/>
    <n v="180"/>
    <n v="70"/>
    <n v="273"/>
    <n v="23"/>
    <n v="1.4359999999999999"/>
    <n v="1.361"/>
    <n v="1.4279999999999999"/>
    <n v="1.3180000000000001"/>
    <n v="111"/>
    <d v="1899-12-30T06:55:00"/>
    <d v="2025-08-23T00:00:00"/>
    <n v="0.99"/>
    <n v="1.056"/>
    <n v="1.4359999999999999"/>
    <n v="23"/>
    <x v="7"/>
    <x v="33"/>
    <x v="7"/>
    <n v="502.59999999999997"/>
    <n v="476.35"/>
    <n v="499.79999999999995"/>
    <n v="461.3"/>
    <n v="502.59999999999997"/>
    <n v="0.94"/>
    <x v="0"/>
  </r>
  <r>
    <n v="576"/>
    <n v="180"/>
    <n v="70"/>
    <n v="297"/>
    <n v="28"/>
    <n v="1.4359999999999999"/>
    <n v="1.361"/>
    <n v="1.4350000000000001"/>
    <n v="1.34"/>
    <n v="175"/>
    <d v="1899-12-30T07:10:00"/>
    <d v="2025-08-24T00:00:00"/>
    <n v="0.99"/>
    <n v="9.73"/>
    <n v="1.4359999999999999"/>
    <n v="24"/>
    <x v="7"/>
    <x v="34"/>
    <x v="7"/>
    <n v="502.59999999999997"/>
    <n v="476.35"/>
    <n v="502.25"/>
    <n v="469"/>
    <n v="502.59999999999997"/>
    <n v="0.94"/>
    <x v="0"/>
  </r>
  <r>
    <n v="605"/>
    <n v="180"/>
    <n v="70"/>
    <n v="321"/>
    <n v="33"/>
    <n v="1.4359999999999999"/>
    <n v="1.361"/>
    <n v="1.4350000000000001"/>
    <n v="1.3460000000000001"/>
    <n v="178"/>
    <d v="1899-12-30T07:26:00"/>
    <d v="2025-08-25T00:00:00"/>
    <n v="0.99"/>
    <n v="1.171"/>
    <n v="1.4359999999999999"/>
    <n v="25"/>
    <x v="7"/>
    <x v="34"/>
    <x v="7"/>
    <n v="502.59999999999997"/>
    <n v="476.35"/>
    <n v="502.25"/>
    <n v="471.1"/>
    <n v="502.59999999999997"/>
    <n v="0.94"/>
    <x v="0"/>
  </r>
  <r>
    <n v="634"/>
    <n v="192"/>
    <n v="75"/>
    <n v="333"/>
    <n v="33"/>
    <n v="1.4359999999999999"/>
    <n v="1.375"/>
    <n v="1.4350000000000001"/>
    <n v="1.3460000000000001"/>
    <n v="181"/>
    <d v="1899-12-30T07:20:00"/>
    <d v="2025-08-26T00:00:00"/>
    <n v="0.99"/>
    <n v="1.262"/>
    <n v="1.4359999999999999"/>
    <n v="26"/>
    <x v="7"/>
    <x v="34"/>
    <x v="7"/>
    <n v="502.59999999999997"/>
    <n v="481.25"/>
    <n v="502.25"/>
    <n v="471.1"/>
    <n v="502.59999999999997"/>
    <n v="0.94"/>
    <x v="0"/>
  </r>
  <r>
    <n v="662"/>
    <n v="205"/>
    <n v="80"/>
    <n v="343"/>
    <n v="33"/>
    <n v="1.4359999999999999"/>
    <n v="1.429"/>
    <n v="1.4350000000000001"/>
    <n v="1.3460000000000001"/>
    <n v="183"/>
    <d v="1899-12-30T06:44:00"/>
    <d v="2025-08-27T00:00:00"/>
    <n v="0.99"/>
    <n v="1.077"/>
    <n v="1.4359999999999999"/>
    <n v="27"/>
    <x v="7"/>
    <x v="34"/>
    <x v="7"/>
    <n v="502.59999999999997"/>
    <n v="500.15000000000003"/>
    <n v="502.25"/>
    <n v="471.1"/>
    <n v="502.59999999999997"/>
    <n v="0.94"/>
    <x v="0"/>
  </r>
  <r>
    <n v="696"/>
    <n v="217"/>
    <n v="85"/>
    <n v="354"/>
    <n v="33"/>
    <n v="1.4359999999999999"/>
    <n v="1.429"/>
    <n v="1.4350000000000001"/>
    <n v="1.3460000000000001"/>
    <n v="186"/>
    <d v="1899-12-30T06:39:00"/>
    <d v="2025-08-28T00:00:00"/>
    <n v="0.99"/>
    <n v="1.0349999999999999"/>
    <n v="1.4359999999999999"/>
    <n v="28"/>
    <x v="7"/>
    <x v="34"/>
    <x v="7"/>
    <n v="502.59999999999997"/>
    <n v="500.15000000000003"/>
    <n v="502.25"/>
    <n v="471.1"/>
    <n v="502.59999999999997"/>
    <n v="0.94"/>
    <x v="0"/>
  </r>
  <r>
    <n v="719"/>
    <n v="230"/>
    <n v="90"/>
    <n v="365"/>
    <n v="33"/>
    <n v="1.5"/>
    <n v="1.429"/>
    <n v="1.4350000000000001"/>
    <n v="1.3460000000000001"/>
    <n v="189"/>
    <d v="1899-12-30T06:50:00"/>
    <d v="2025-08-29T00:00:00"/>
    <n v="0.99"/>
    <n v="1.0429999999999999"/>
    <n v="1.5"/>
    <n v="29"/>
    <x v="7"/>
    <x v="34"/>
    <x v="7"/>
    <n v="525"/>
    <n v="500.15000000000003"/>
    <n v="502.25"/>
    <n v="471.1"/>
    <n v="525"/>
    <n v="0.94"/>
    <x v="0"/>
  </r>
  <r>
    <n v="749"/>
    <n v="243"/>
    <n v="95"/>
    <n v="377"/>
    <n v="33"/>
    <n v="1.5"/>
    <n v="1.429"/>
    <n v="1.4350000000000001"/>
    <n v="1.3460000000000001"/>
    <n v="192"/>
    <d v="1899-12-30T06:50:00"/>
    <d v="2025-08-30T00:00:00"/>
    <n v="0.99"/>
    <n v="1.0309999999999999"/>
    <n v="1.5"/>
    <n v="30"/>
    <x v="7"/>
    <x v="34"/>
    <x v="7"/>
    <n v="525"/>
    <n v="500.15000000000003"/>
    <n v="502.25"/>
    <n v="471.1"/>
    <n v="525"/>
    <n v="0.94"/>
    <x v="0"/>
  </r>
  <r>
    <n v="779"/>
    <n v="243"/>
    <n v="95"/>
    <n v="402"/>
    <n v="37"/>
    <n v="1.5"/>
    <n v="1.429"/>
    <n v="1.496"/>
    <n v="1.3460000000000001"/>
    <n v="195"/>
    <d v="1899-12-30T07:06:00"/>
    <d v="2025-08-31T00:00:00"/>
    <n v="0.99"/>
    <n v="1.2030000000000001"/>
    <n v="1.5"/>
    <n v="31"/>
    <x v="7"/>
    <x v="12"/>
    <x v="7"/>
    <n v="525"/>
    <n v="500.15000000000003"/>
    <n v="523.6"/>
    <n v="471.1"/>
    <n v="525"/>
    <n v="0.94"/>
    <x v="0"/>
  </r>
  <r>
    <n v="808"/>
    <n v="243"/>
    <n v="95"/>
    <n v="427"/>
    <n v="42"/>
    <n v="0"/>
    <n v="0"/>
    <n v="1.3"/>
    <n v="0"/>
    <n v="198"/>
    <d v="1899-12-30T07:50:00"/>
    <d v="2025-09-01T00:00:00"/>
    <n v="0.99"/>
    <n v="1.202"/>
    <n v="1.3"/>
    <n v="1"/>
    <x v="8"/>
    <x v="12"/>
    <x v="8"/>
    <n v="0"/>
    <n v="0"/>
    <n v="455"/>
    <n v="0"/>
    <n v="455"/>
    <n v="0.94"/>
    <x v="0"/>
  </r>
  <r>
    <n v="837"/>
    <n v="255"/>
    <n v="100"/>
    <n v="438"/>
    <n v="42"/>
    <n v="1.454"/>
    <n v="1.288"/>
    <n v="1.3"/>
    <n v="0"/>
    <n v="200"/>
    <d v="1899-12-30T07:31:00"/>
    <d v="2025-09-02T00:00:00"/>
    <n v="0.99"/>
    <n v="1.054"/>
    <n v="1.454"/>
    <n v="2"/>
    <x v="8"/>
    <x v="12"/>
    <x v="8"/>
    <n v="508.9"/>
    <n v="450.8"/>
    <n v="455"/>
    <n v="0"/>
    <n v="508.9"/>
    <n v="0.94"/>
    <x v="0"/>
  </r>
  <r>
    <n v="864"/>
    <n v="267"/>
    <n v="105"/>
    <n v="448"/>
    <n v="42"/>
    <n v="1.454"/>
    <n v="1.3169999999999999"/>
    <n v="1.3"/>
    <n v="0"/>
    <n v="203"/>
    <d v="1899-12-30T06:42:00"/>
    <d v="2025-09-03T00:00:00"/>
    <n v="0.99"/>
    <n v="1.1599999999999999"/>
    <n v="1.454"/>
    <n v="3"/>
    <x v="8"/>
    <x v="12"/>
    <x v="8"/>
    <n v="508.9"/>
    <n v="460.95"/>
    <n v="455"/>
    <n v="0"/>
    <n v="508.9"/>
    <n v="0.94"/>
    <x v="0"/>
  </r>
  <r>
    <n v="893"/>
    <n v="280"/>
    <n v="110"/>
    <n v="459"/>
    <n v="42"/>
    <n v="1.454"/>
    <n v="1.379"/>
    <n v="1.355"/>
    <n v="0"/>
    <n v="206"/>
    <d v="1899-12-30T06:32:00"/>
    <d v="2025-09-04T00:00:00"/>
    <n v="0.99"/>
    <n v="1.0609999999999999"/>
    <n v="1.454"/>
    <n v="4"/>
    <x v="8"/>
    <x v="12"/>
    <x v="8"/>
    <n v="508.9"/>
    <n v="482.65"/>
    <n v="474.25"/>
    <n v="0"/>
    <n v="508.9"/>
    <n v="0.94"/>
    <x v="0"/>
  </r>
  <r>
    <n v="922"/>
    <n v="282"/>
    <n v="115"/>
    <n v="471"/>
    <n v="42"/>
    <n v="1.454"/>
    <n v="1.379"/>
    <n v="1.355"/>
    <n v="0"/>
    <n v="208"/>
    <d v="1899-12-30T06:50:00"/>
    <d v="2025-09-05T00:00:00"/>
    <n v="0.99"/>
    <n v="1.0509999999999999"/>
    <n v="1.454"/>
    <n v="5"/>
    <x v="8"/>
    <x v="12"/>
    <x v="8"/>
    <n v="508.9"/>
    <n v="482.65"/>
    <n v="474.25"/>
    <n v="0"/>
    <n v="508.9"/>
    <n v="0.94"/>
    <x v="0"/>
  </r>
  <r>
    <n v="952"/>
    <n v="305"/>
    <n v="120"/>
    <n v="483"/>
    <n v="42"/>
    <n v="1.454"/>
    <n v="1.379"/>
    <n v="1.355"/>
    <n v="0"/>
    <n v="211"/>
    <d v="1899-12-30T06:49:00"/>
    <d v="2025-09-06T00:00:00"/>
    <n v="0.98"/>
    <n v="1.1950000000000001"/>
    <n v="1.454"/>
    <n v="6"/>
    <x v="8"/>
    <x v="12"/>
    <x v="8"/>
    <n v="508.9"/>
    <n v="482.65"/>
    <n v="474.25"/>
    <n v="0"/>
    <n v="508.9"/>
    <n v="0.94"/>
    <x v="0"/>
  </r>
  <r>
    <n v="981"/>
    <n v="305"/>
    <n v="120"/>
    <n v="508"/>
    <n v="47"/>
    <n v="1.454"/>
    <n v="1.379"/>
    <n v="1.5089999999999999"/>
    <n v="1.3440000000000001"/>
    <n v="214"/>
    <d v="1899-12-30T07:46:00"/>
    <d v="2025-09-07T00:00:00"/>
    <n v="0.99"/>
    <n v="1.1200000000000001"/>
    <n v="1.5089999999999999"/>
    <n v="7"/>
    <x v="8"/>
    <x v="35"/>
    <x v="8"/>
    <n v="508.9"/>
    <n v="482.65"/>
    <n v="528.15"/>
    <n v="470.40000000000003"/>
    <n v="528.15"/>
    <n v="0.94"/>
    <x v="0"/>
  </r>
  <r>
    <n v="1009"/>
    <n v="305"/>
    <n v="120"/>
    <n v="532"/>
    <n v="52"/>
    <n v="1.454"/>
    <n v="1.379"/>
    <n v="1.5089999999999999"/>
    <n v="1.3440000000000001"/>
    <n v="217"/>
    <d v="1899-12-30T07:04:00"/>
    <d v="2025-09-08T00:00:00"/>
    <n v="0.99"/>
    <n v="1.08"/>
    <n v="1.5089999999999999"/>
    <n v="8"/>
    <x v="8"/>
    <x v="35"/>
    <x v="8"/>
    <n v="508.9"/>
    <n v="482.65"/>
    <n v="528.15"/>
    <n v="470.40000000000003"/>
    <n v="528.15"/>
    <n v="0.94"/>
    <x v="0"/>
  </r>
  <r>
    <n v="1039"/>
    <n v="318"/>
    <n v="124"/>
    <n v="543"/>
    <n v="52"/>
    <n v="1.454"/>
    <n v="1.4410000000000001"/>
    <n v="1.5089999999999999"/>
    <n v="1.3440000000000001"/>
    <n v="219"/>
    <d v="1899-12-30T07:06:00"/>
    <d v="2025-09-09T00:00:00"/>
    <n v="0.98"/>
    <n v="1.171"/>
    <n v="1.5089999999999999"/>
    <n v="9"/>
    <x v="8"/>
    <x v="35"/>
    <x v="8"/>
    <n v="508.9"/>
    <n v="504.35"/>
    <n v="528.15"/>
    <n v="470.40000000000003"/>
    <n v="528.15"/>
    <n v="0.94"/>
    <x v="0"/>
  </r>
  <r>
    <n v="1067"/>
    <n v="330"/>
    <n v="129"/>
    <n v="554"/>
    <n v="52"/>
    <n v="1.454"/>
    <n v="1.4410000000000001"/>
    <n v="1.5089999999999999"/>
    <n v="1.3440000000000001"/>
    <n v="222"/>
    <d v="1899-12-30T06:44:00"/>
    <d v="2025-09-10T00:00:00"/>
    <n v="0.99"/>
    <n v="1.141"/>
    <n v="1.5089999999999999"/>
    <n v="10"/>
    <x v="8"/>
    <x v="35"/>
    <x v="8"/>
    <n v="508.9"/>
    <n v="504.35"/>
    <n v="528.15"/>
    <n v="470.40000000000003"/>
    <n v="528.15"/>
    <n v="0.94"/>
    <x v="0"/>
  </r>
  <r>
    <n v="1096"/>
    <n v="343"/>
    <n v="134"/>
    <n v="565"/>
    <n v="52"/>
    <n v="1.454"/>
    <n v="1.4410000000000001"/>
    <n v="1.5089999999999999"/>
    <n v="1.3440000000000001"/>
    <n v="225"/>
    <d v="1899-12-30T07:37:00"/>
    <d v="2025-09-11T00:00:00"/>
    <n v="0.99"/>
    <n v="1.05"/>
    <n v="1.5089999999999999"/>
    <n v="11"/>
    <x v="8"/>
    <x v="35"/>
    <x v="8"/>
    <n v="508.9"/>
    <n v="504.35"/>
    <n v="528.15"/>
    <n v="470.40000000000003"/>
    <n v="528.15"/>
    <n v="0.94"/>
    <x v="0"/>
  </r>
  <r>
    <n v="1127"/>
    <n v="356"/>
    <n v="140"/>
    <n v="577"/>
    <n v="52"/>
    <n v="1.478"/>
    <n v="1.5069999999999999"/>
    <n v="1.5089999999999999"/>
    <n v="1.3440000000000001"/>
    <n v="228"/>
    <d v="1899-12-30T06:50:00"/>
    <d v="2025-09-12T00:00:00"/>
    <n v="0.99"/>
    <n v="1.423"/>
    <n v="1.5089999999999999"/>
    <n v="12"/>
    <x v="8"/>
    <x v="35"/>
    <x v="8"/>
    <n v="517.29999999999995"/>
    <n v="527.44999999999993"/>
    <n v="528.15"/>
    <n v="470.40000000000003"/>
    <n v="528.15"/>
    <n v="0.94"/>
    <x v="0"/>
  </r>
  <r>
    <n v="1157"/>
    <n v="369"/>
    <n v="145"/>
    <n v="589"/>
    <n v="52"/>
    <n v="1.617"/>
    <n v="1.5069999999999999"/>
    <n v="1.5089999999999999"/>
    <n v="1.3440000000000001"/>
    <n v="234"/>
    <d v="1899-12-30T06:55:00"/>
    <d v="2025-09-13T00:00:00"/>
    <n v="0.98"/>
    <n v="1.085"/>
    <n v="1.617"/>
    <n v="13"/>
    <x v="8"/>
    <x v="35"/>
    <x v="8"/>
    <n v="565.95000000000005"/>
    <n v="527.44999999999993"/>
    <n v="528.15"/>
    <n v="470.40000000000003"/>
    <n v="565.95000000000005"/>
    <n v="0.94"/>
    <x v="0"/>
  </r>
  <r>
    <n v="1187"/>
    <n v="369"/>
    <n v="145"/>
    <n v="609"/>
    <n v="62"/>
    <n v="1.617"/>
    <n v="1.5069999999999999"/>
    <n v="1.5089999999999999"/>
    <n v="1.4259999999999999"/>
    <n v="234"/>
    <d v="1899-12-30T07:08:00"/>
    <d v="2025-09-14T00:00:00"/>
    <n v="0.99"/>
    <n v="1.02"/>
    <n v="1.617"/>
    <n v="14"/>
    <x v="8"/>
    <x v="36"/>
    <x v="8"/>
    <n v="565.95000000000005"/>
    <n v="527.44999999999993"/>
    <n v="528.15"/>
    <n v="499.09999999999997"/>
    <n v="565.95000000000005"/>
    <n v="0.94"/>
    <x v="0"/>
  </r>
  <r>
    <n v="1214"/>
    <n v="369"/>
    <n v="145"/>
    <n v="637"/>
    <n v="62"/>
    <n v="1.617"/>
    <n v="1.5069999999999999"/>
    <n v="1.5089999999999999"/>
    <n v="1.4259999999999999"/>
    <n v="237"/>
    <d v="1899-12-30T07:00:00"/>
    <d v="2025-09-15T00:00:00"/>
    <n v="0.99"/>
    <n v="1.012"/>
    <n v="1.617"/>
    <n v="15"/>
    <x v="8"/>
    <x v="36"/>
    <x v="8"/>
    <n v="565.95000000000005"/>
    <n v="527.44999999999993"/>
    <n v="528.15"/>
    <n v="499.09999999999997"/>
    <n v="565.95000000000005"/>
    <n v="0.94"/>
    <x v="0"/>
  </r>
  <r>
    <n v="1244"/>
    <n v="382"/>
    <n v="150"/>
    <n v="649"/>
    <n v="62"/>
    <n v="1.617"/>
    <n v="1.5069999999999999"/>
    <n v="1.5089999999999999"/>
    <n v="1.4259999999999999"/>
    <n v="241"/>
    <d v="1899-12-30T07:04:00"/>
    <d v="2025-09-16T00:00:00"/>
    <n v="0.99"/>
    <n v="9.92"/>
    <n v="1.617"/>
    <n v="16"/>
    <x v="8"/>
    <x v="36"/>
    <x v="8"/>
    <n v="565.95000000000005"/>
    <n v="527.44999999999993"/>
    <n v="528.15"/>
    <n v="499.09999999999997"/>
    <n v="565.95000000000005"/>
    <n v="0.94"/>
    <x v="0"/>
  </r>
  <r>
    <n v="1285"/>
    <n v="405"/>
    <n v="155"/>
    <n v="661"/>
    <n v="62"/>
    <n v="1.617"/>
    <n v="1.5069999999999999"/>
    <n v="1.5089999999999999"/>
    <n v="1.4259999999999999"/>
    <n v="245"/>
    <d v="1899-12-30T15:35:00"/>
    <d v="2025-09-17T00:00:00"/>
    <n v="0.98"/>
    <n v="1.296"/>
    <n v="1.617"/>
    <n v="17"/>
    <x v="8"/>
    <x v="36"/>
    <x v="8"/>
    <n v="565.95000000000005"/>
    <n v="527.44999999999993"/>
    <n v="528.15"/>
    <n v="499.09999999999997"/>
    <n v="565.95000000000005"/>
    <n v="0.94"/>
    <x v="0"/>
  </r>
  <r>
    <n v="1301"/>
    <n v="409"/>
    <n v="160"/>
    <n v="672"/>
    <n v="62"/>
    <n v="1.617"/>
    <n v="1.5069999999999999"/>
    <n v="1.5089999999999999"/>
    <n v="1.4259999999999999"/>
    <n v="247"/>
    <d v="1899-12-30T07:12:00"/>
    <d v="2025-09-18T00:00:00"/>
    <n v="0.99"/>
    <n v="9.9499999999999993"/>
    <n v="1.617"/>
    <n v="18"/>
    <x v="8"/>
    <x v="36"/>
    <x v="8"/>
    <n v="565.95000000000005"/>
    <n v="527.44999999999993"/>
    <n v="528.15"/>
    <n v="499.09999999999997"/>
    <n v="565.95000000000005"/>
    <n v="0.94"/>
    <x v="0"/>
  </r>
  <r>
    <n v="1335"/>
    <n v="422"/>
    <n v="165"/>
    <n v="684"/>
    <n v="62"/>
    <n v="1.617"/>
    <n v="1.5069999999999999"/>
    <n v="1.5089999999999999"/>
    <n v="1.4259999999999999"/>
    <n v="251"/>
    <d v="1899-12-30T06:40:00"/>
    <d v="2025-09-19T00:00:00"/>
    <n v="0.99"/>
    <n v="1.2350000000000001"/>
    <n v="1.617"/>
    <n v="19"/>
    <x v="8"/>
    <x v="36"/>
    <x v="8"/>
    <n v="565.95000000000005"/>
    <n v="527.44999999999993"/>
    <n v="528.15"/>
    <n v="499.09999999999997"/>
    <n v="565.95000000000005"/>
    <n v="0.94"/>
    <x v="0"/>
  </r>
  <r>
    <n v="1365"/>
    <n v="435"/>
    <n v="170"/>
    <n v="696"/>
    <n v="62"/>
    <n v="1.617"/>
    <n v="1.5069999999999999"/>
    <n v="1.5089999999999999"/>
    <n v="1.4259999999999999"/>
    <n v="254"/>
    <d v="1899-12-30T06:52:00"/>
    <d v="2025-09-20T00:00:00"/>
    <n v="0.99"/>
    <n v="1.1910000000000001"/>
    <n v="1.617"/>
    <n v="20"/>
    <x v="8"/>
    <x v="36"/>
    <x v="8"/>
    <n v="565.95000000000005"/>
    <n v="527.44999999999993"/>
    <n v="528.15"/>
    <n v="499.09999999999997"/>
    <n v="565.95000000000005"/>
    <n v="0.94"/>
    <x v="0"/>
  </r>
  <r>
    <n v="1395"/>
    <n v="435"/>
    <n v="170"/>
    <n v="721"/>
    <n v="67"/>
    <n v="1.617"/>
    <n v="1.5069999999999999"/>
    <n v="1.5089999999999999"/>
    <n v="1.4259999999999999"/>
    <n v="258"/>
    <d v="1899-12-30T07:00:00"/>
    <d v="2025-09-21T00:00:00"/>
    <n v="0.99"/>
    <n v="9.82"/>
    <n v="1.617"/>
    <n v="21"/>
    <x v="8"/>
    <x v="37"/>
    <x v="8"/>
    <n v="565.95000000000005"/>
    <n v="527.44999999999993"/>
    <n v="528.15"/>
    <n v="499.09999999999997"/>
    <n v="565.95000000000005"/>
    <n v="0.94"/>
    <x v="0"/>
  </r>
  <r>
    <n v="1425"/>
    <n v="435"/>
    <n v="170"/>
    <n v="743"/>
    <n v="72"/>
    <n v="1.617"/>
    <n v="1.5069999999999999"/>
    <n v="1.5089999999999999"/>
    <n v="1.4259999999999999"/>
    <n v="261"/>
    <d v="1899-12-30T07:12:00"/>
    <d v="2025-09-22T00:00:00"/>
    <n v="0.99"/>
    <n v="1.042"/>
    <n v="1.617"/>
    <n v="22"/>
    <x v="8"/>
    <x v="37"/>
    <x v="8"/>
    <n v="565.95000000000005"/>
    <n v="527.44999999999993"/>
    <n v="528.15"/>
    <n v="499.09999999999997"/>
    <n v="565.95000000000005"/>
    <n v="0.94"/>
    <x v="0"/>
  </r>
  <r>
    <n v="1458"/>
    <n v="451"/>
    <n v="176"/>
    <n v="758"/>
    <n v="72"/>
    <n v="1.617"/>
    <n v="1.5069999999999999"/>
    <n v="1.5089999999999999"/>
    <n v="1.4259999999999999"/>
    <n v="264"/>
    <d v="1899-12-30T10:24:00"/>
    <d v="2025-09-23T00:00:00"/>
    <n v="0.99"/>
    <n v="1.1830000000000001"/>
    <n v="1.617"/>
    <n v="23"/>
    <x v="8"/>
    <x v="37"/>
    <x v="8"/>
    <n v="565.95000000000005"/>
    <n v="527.44999999999993"/>
    <n v="528.15"/>
    <n v="499.09999999999997"/>
    <n v="565.95000000000005"/>
    <n v="0.94"/>
    <x v="0"/>
  </r>
  <r>
    <n v="1482"/>
    <n v="460"/>
    <n v="181"/>
    <n v="768"/>
    <n v="72"/>
    <n v="1.617"/>
    <n v="1.5069999999999999"/>
    <n v="1.5089999999999999"/>
    <n v="1.4259999999999999"/>
    <n v="267"/>
    <d v="1899-12-30T06:29:00"/>
    <d v="2025-09-24T00:00:00"/>
    <n v="0.99"/>
    <n v="8.98"/>
    <n v="1.617"/>
    <n v="24"/>
    <x v="8"/>
    <x v="37"/>
    <x v="8"/>
    <n v="565.95000000000005"/>
    <n v="527.44999999999993"/>
    <n v="528.15"/>
    <n v="499.09999999999997"/>
    <n v="565.95000000000005"/>
    <n v="0.94"/>
    <x v="0"/>
  </r>
  <r>
    <n v="1512"/>
    <n v="473"/>
    <n v="186"/>
    <n v="779"/>
    <n v="72"/>
    <n v="1.617"/>
    <n v="1.5069999999999999"/>
    <n v="1.5089999999999999"/>
    <n v="1.4259999999999999"/>
    <n v="269"/>
    <d v="1899-12-30T06:36:00"/>
    <d v="2025-09-25T00:00:00"/>
    <n v="0.99"/>
    <n v="1.165"/>
    <n v="1.617"/>
    <n v="25"/>
    <x v="8"/>
    <x v="37"/>
    <x v="8"/>
    <n v="565.95000000000005"/>
    <n v="527.44999999999993"/>
    <n v="528.15"/>
    <n v="499.09999999999997"/>
    <n v="565.95000000000005"/>
    <n v="0.94"/>
    <x v="0"/>
  </r>
  <r>
    <n v="1543"/>
    <n v="486"/>
    <n v="191"/>
    <n v="792"/>
    <n v="72"/>
    <n v="1.617"/>
    <n v="1.5069999999999999"/>
    <n v="1.5089999999999999"/>
    <n v="1.4259999999999999"/>
    <n v="273"/>
    <d v="1899-12-30T08:10:00"/>
    <d v="2025-09-26T00:00:00"/>
    <n v="0.99"/>
    <n v="1.151"/>
    <n v="1.617"/>
    <n v="26"/>
    <x v="8"/>
    <x v="37"/>
    <x v="8"/>
    <n v="565.95000000000005"/>
    <n v="527.44999999999993"/>
    <n v="528.15"/>
    <n v="499.09999999999997"/>
    <n v="565.95000000000005"/>
    <n v="0.94"/>
    <x v="0"/>
  </r>
  <r>
    <n v="1571"/>
    <n v="499"/>
    <n v="196"/>
    <n v="802"/>
    <n v="72"/>
    <n v="1.617"/>
    <n v="1.5069999999999999"/>
    <n v="1.5089999999999999"/>
    <n v="1.4259999999999999"/>
    <n v="277"/>
    <d v="1899-12-30T06:34:00"/>
    <d v="2025-09-27T00:00:00"/>
    <n v="0.99"/>
    <n v="9.92"/>
    <n v="1.617"/>
    <n v="27"/>
    <x v="8"/>
    <x v="37"/>
    <x v="8"/>
    <n v="565.95000000000005"/>
    <n v="527.44999999999993"/>
    <n v="528.15"/>
    <n v="499.09999999999997"/>
    <n v="565.95000000000005"/>
    <n v="0.94"/>
    <x v="0"/>
  </r>
  <r>
    <n v="1600"/>
    <n v="499"/>
    <n v="196"/>
    <n v="827"/>
    <n v="77"/>
    <n v="1.617"/>
    <n v="1.5069999999999999"/>
    <n v="1.5089999999999999"/>
    <n v="1.4259999999999999"/>
    <n v="280"/>
    <d v="1899-12-30T06:36:00"/>
    <d v="2025-09-28T00:00:00"/>
    <n v="0.99"/>
    <n v="1.054"/>
    <n v="1.617"/>
    <n v="28"/>
    <x v="8"/>
    <x v="13"/>
    <x v="8"/>
    <n v="565.95000000000005"/>
    <n v="527.44999999999993"/>
    <n v="528.15"/>
    <n v="499.09999999999997"/>
    <n v="565.95000000000005"/>
    <n v="0.94"/>
    <x v="0"/>
  </r>
  <r>
    <n v="1628"/>
    <n v="499"/>
    <n v="196"/>
    <n v="850"/>
    <n v="82"/>
    <n v="1.617"/>
    <n v="1.5069999999999999"/>
    <n v="1.5089999999999999"/>
    <n v="1.4259999999999999"/>
    <n v="283"/>
    <d v="1899-12-30T06:37:00"/>
    <d v="2025-09-29T00:00:00"/>
    <n v="0.99"/>
    <n v="1.173"/>
    <n v="1.617"/>
    <n v="29"/>
    <x v="8"/>
    <x v="13"/>
    <x v="8"/>
    <n v="565.95000000000005"/>
    <n v="527.44999999999993"/>
    <n v="528.15"/>
    <n v="499.09999999999997"/>
    <n v="565.95000000000005"/>
    <n v="0.94"/>
    <x v="0"/>
  </r>
  <r>
    <n v="1657"/>
    <n v="512"/>
    <n v="201"/>
    <n v="861"/>
    <n v="82"/>
    <n v="1.617"/>
    <n v="1.5069999999999999"/>
    <n v="1.5089999999999999"/>
    <n v="1.4259999999999999"/>
    <n v="287"/>
    <d v="1899-12-30T06:34:00"/>
    <d v="2025-09-30T00:00:00"/>
    <n v="0.99"/>
    <n v="1.07"/>
    <n v="1.617"/>
    <n v="30"/>
    <x v="8"/>
    <x v="13"/>
    <x v="8"/>
    <n v="565.95000000000005"/>
    <n v="527.44999999999993"/>
    <n v="528.15"/>
    <n v="499.09999999999997"/>
    <n v="565.95000000000005"/>
    <n v="0.94"/>
    <x v="0"/>
  </r>
  <r>
    <n v="1687"/>
    <n v="525"/>
    <n v="206"/>
    <n v="873"/>
    <n v="82"/>
    <n v="0"/>
    <n v="0"/>
    <n v="1.26"/>
    <n v="0"/>
    <n v="290"/>
    <d v="1899-12-30T06:36:00"/>
    <d v="2025-10-01T00:00:00"/>
    <n v="0.99"/>
    <n v="1.302"/>
    <n v="1.26"/>
    <n v="1"/>
    <x v="9"/>
    <x v="13"/>
    <x v="9"/>
    <n v="0"/>
    <n v="0"/>
    <n v="441"/>
    <n v="0"/>
    <n v="441"/>
    <n v="0.94"/>
    <x v="0"/>
  </r>
  <r>
    <n v="1717"/>
    <n v="538"/>
    <n v="211"/>
    <n v="885"/>
    <n v="82"/>
    <n v="1.484"/>
    <n v="1.4279999999999999"/>
    <n v="1.331"/>
    <n v="0"/>
    <n v="293"/>
    <d v="1899-12-30T06:44:00"/>
    <d v="2025-10-02T00:00:00"/>
    <n v="0.99"/>
    <n v="9.98"/>
    <n v="1.484"/>
    <n v="2"/>
    <x v="9"/>
    <x v="13"/>
    <x v="9"/>
    <n v="519.4"/>
    <n v="499.79999999999995"/>
    <n v="465.84999999999997"/>
    <n v="0"/>
    <n v="519.4"/>
    <n v="0.94"/>
    <x v="0"/>
  </r>
  <r>
    <n v="1746"/>
    <n v="551"/>
    <n v="216"/>
    <n v="896"/>
    <n v="82"/>
    <n v="1.484"/>
    <n v="1.4470000000000001"/>
    <n v="1.331"/>
    <n v="0"/>
    <n v="295"/>
    <d v="1899-12-30T07:03:00"/>
    <d v="2025-10-03T00:00:00"/>
    <n v="0.99"/>
    <n v="1.087"/>
    <n v="1.484"/>
    <n v="3"/>
    <x v="9"/>
    <x v="13"/>
    <x v="9"/>
    <n v="519.4"/>
    <n v="506.45000000000005"/>
    <n v="465.84999999999997"/>
    <n v="0"/>
    <n v="519.4"/>
    <n v="0.94"/>
    <x v="0"/>
  </r>
  <r>
    <n v="1775"/>
    <n v="563"/>
    <n v="221"/>
    <n v="907"/>
    <n v="82"/>
    <n v="1.484"/>
    <n v="1.4470000000000001"/>
    <n v="1.331"/>
    <n v="0"/>
    <n v="299"/>
    <d v="1899-12-30T06:31:00"/>
    <d v="2025-10-04T00:00:00"/>
    <n v="0.99"/>
    <n v="1.2629999999999999"/>
    <n v="1.484"/>
    <n v="4"/>
    <x v="9"/>
    <x v="13"/>
    <x v="9"/>
    <n v="519.4"/>
    <n v="506.45000000000005"/>
    <n v="465.84999999999997"/>
    <n v="0"/>
    <n v="519.4"/>
    <n v="0.94"/>
    <x v="0"/>
  </r>
  <r>
    <n v="1805"/>
    <n v="563"/>
    <n v="221"/>
    <n v="932"/>
    <n v="87"/>
    <n v="1.484"/>
    <n v="1.4470000000000001"/>
    <n v="1.419"/>
    <n v="1.3460000000000001"/>
    <n v="302"/>
    <d v="1899-12-30T06:32:00"/>
    <d v="2025-10-05T00:00:00"/>
    <n v="0.99"/>
    <n v="1.129"/>
    <n v="1.484"/>
    <n v="5"/>
    <x v="9"/>
    <x v="38"/>
    <x v="9"/>
    <n v="519.4"/>
    <n v="506.45000000000005"/>
    <n v="496.65000000000003"/>
    <n v="471.1"/>
    <n v="519.4"/>
    <n v="0.94"/>
    <x v="0"/>
  </r>
  <r>
    <n v="1834"/>
    <n v="563"/>
    <n v="221"/>
    <n v="957"/>
    <n v="91"/>
    <n v="1.484"/>
    <n v="1.4470000000000001"/>
    <n v="1.4279999999999999"/>
    <n v="1.355"/>
    <n v="305"/>
    <d v="1899-12-30T07:11:00"/>
    <d v="2025-10-06T00:00:00"/>
    <n v="0.98"/>
    <n v="1.137"/>
    <n v="1.484"/>
    <n v="6"/>
    <x v="9"/>
    <x v="38"/>
    <x v="9"/>
    <n v="519.4"/>
    <n v="506.45000000000005"/>
    <n v="499.79999999999995"/>
    <n v="474.25"/>
    <n v="519.4"/>
    <n v="0.94"/>
    <x v="0"/>
  </r>
  <r>
    <n v="1863"/>
    <n v="576"/>
    <n v="226"/>
    <n v="968"/>
    <n v="91"/>
    <n v="1.484"/>
    <n v="1.4470000000000001"/>
    <n v="1.4279999999999999"/>
    <n v="1.355"/>
    <n v="305"/>
    <d v="1899-12-30T07:19:00"/>
    <d v="2025-10-07T00:00:00"/>
    <n v="0.99"/>
    <n v="1.016"/>
    <n v="1.484"/>
    <n v="7"/>
    <x v="9"/>
    <x v="38"/>
    <x v="9"/>
    <n v="519.4"/>
    <n v="506.45000000000005"/>
    <n v="499.79999999999995"/>
    <n v="474.25"/>
    <n v="519.4"/>
    <n v="0.94"/>
    <x v="0"/>
  </r>
  <r>
    <n v="1892"/>
    <n v="588"/>
    <n v="231"/>
    <n v="979"/>
    <n v="91"/>
    <n v="1.484"/>
    <n v="1.4410000000000001"/>
    <n v="1.4279999999999999"/>
    <n v="1.355"/>
    <n v="310"/>
    <d v="1899-12-30T06:36:00"/>
    <d v="2025-10-08T00:00:00"/>
    <n v="0.99"/>
    <n v="1.2290000000000001"/>
    <n v="1.484"/>
    <n v="8"/>
    <x v="9"/>
    <x v="38"/>
    <x v="9"/>
    <n v="519.4"/>
    <n v="504.35"/>
    <n v="499.79999999999995"/>
    <n v="474.25"/>
    <n v="519.4"/>
    <n v="0.94"/>
    <x v="0"/>
  </r>
  <r>
    <n v="1922"/>
    <n v="601"/>
    <n v="237"/>
    <n v="991"/>
    <n v="91"/>
    <n v="1.484"/>
    <n v="1.452"/>
    <n v="1.4279999999999999"/>
    <n v="1.409"/>
    <n v="313"/>
    <d v="1899-12-30T06:38:00"/>
    <d v="2025-10-09T00:00:00"/>
    <n v="0.99"/>
    <n v="1.024"/>
    <n v="1.484"/>
    <n v="9"/>
    <x v="9"/>
    <x v="38"/>
    <x v="9"/>
    <n v="519.4"/>
    <n v="508.2"/>
    <n v="499.79999999999995"/>
    <n v="493.15000000000003"/>
    <n v="519.4"/>
    <n v="0.94"/>
    <x v="0"/>
  </r>
  <r>
    <n v="1953"/>
    <n v="601"/>
    <n v="237"/>
    <n v="1018"/>
    <n v="97"/>
    <n v="1.484"/>
    <n v="1.452"/>
    <n v="1.456"/>
    <n v="1.409"/>
    <n v="317"/>
    <d v="1899-12-30T07:11:00"/>
    <d v="2025-10-10T00:00:00"/>
    <n v="0.99"/>
    <n v="1.099"/>
    <n v="1.484"/>
    <n v="10"/>
    <x v="9"/>
    <x v="38"/>
    <x v="9"/>
    <n v="519.4"/>
    <n v="508.2"/>
    <n v="509.59999999999997"/>
    <n v="493.15000000000003"/>
    <n v="519.4"/>
    <n v="0.94"/>
    <x v="0"/>
  </r>
  <r>
    <n v="1986"/>
    <n v="615"/>
    <n v="242"/>
    <n v="1031"/>
    <n v="97"/>
    <n v="1.581"/>
    <n v="1.4650000000000001"/>
    <n v="1.456"/>
    <n v="1.409"/>
    <n v="320"/>
    <d v="1899-12-30T07:54:00"/>
    <d v="2025-10-11T00:00:00"/>
    <n v="0.99"/>
    <n v="1.149"/>
    <n v="1.581"/>
    <n v="11"/>
    <x v="9"/>
    <x v="38"/>
    <x v="9"/>
    <n v="553.35"/>
    <n v="512.75"/>
    <n v="509.59999999999997"/>
    <n v="493.15000000000003"/>
    <n v="553.35"/>
    <n v="0.94"/>
    <x v="0"/>
  </r>
  <r>
    <n v="2015"/>
    <n v="615"/>
    <n v="242"/>
    <n v="1055"/>
    <n v="102"/>
    <n v="1.581"/>
    <n v="1.4650000000000001"/>
    <n v="1.456"/>
    <n v="1.409"/>
    <n v="324"/>
    <d v="1899-12-30T07:01:00"/>
    <d v="2025-10-12T00:00:00"/>
    <n v="0.99"/>
    <n v="1.159"/>
    <n v="1.581"/>
    <n v="12"/>
    <x v="9"/>
    <x v="39"/>
    <x v="9"/>
    <n v="553.35"/>
    <n v="512.75"/>
    <n v="509.59999999999997"/>
    <n v="493.15000000000003"/>
    <n v="553.35"/>
    <n v="0.94"/>
    <x v="0"/>
  </r>
  <r>
    <n v="2044"/>
    <n v="615"/>
    <n v="242"/>
    <n v="1079"/>
    <n v="107"/>
    <n v="1.581"/>
    <n v="1.4650000000000001"/>
    <n v="1.456"/>
    <n v="1.409"/>
    <n v="328"/>
    <d v="1899-12-30T06:56:00"/>
    <d v="2025-10-13T00:00:00"/>
    <n v="0.99"/>
    <n v="1.171"/>
    <n v="1.581"/>
    <n v="13"/>
    <x v="9"/>
    <x v="39"/>
    <x v="9"/>
    <n v="553.35"/>
    <n v="512.75"/>
    <n v="509.59999999999997"/>
    <n v="493.15000000000003"/>
    <n v="553.35"/>
    <n v="0.94"/>
    <x v="0"/>
  </r>
  <r>
    <n v="2076"/>
    <n v="628"/>
    <n v="247"/>
    <n v="1092"/>
    <n v="107"/>
    <n v="1.581"/>
    <n v="1.4650000000000001"/>
    <n v="1.456"/>
    <n v="1.409"/>
    <n v="331"/>
    <d v="1899-12-30T08:35:00"/>
    <d v="2025-10-14T00:00:00"/>
    <n v="0.99"/>
    <n v="1.141"/>
    <n v="1.581"/>
    <n v="14"/>
    <x v="9"/>
    <x v="39"/>
    <x v="9"/>
    <n v="553.35"/>
    <n v="512.75"/>
    <n v="509.59999999999997"/>
    <n v="493.15000000000003"/>
    <n v="553.35"/>
    <n v="0.94"/>
    <x v="0"/>
  </r>
  <r>
    <n v="2103"/>
    <n v="640"/>
    <n v="252"/>
    <n v="1102"/>
    <n v="107"/>
    <n v="1.581"/>
    <n v="1.4650000000000001"/>
    <n v="1.456"/>
    <n v="1.409"/>
    <n v="333"/>
    <d v="1899-12-30T06:36:00"/>
    <d v="2025-10-15T00:00:00"/>
    <n v="0.99"/>
    <n v="1.1719999999999999"/>
    <n v="1.581"/>
    <n v="15"/>
    <x v="9"/>
    <x v="39"/>
    <x v="9"/>
    <n v="553.35"/>
    <n v="512.75"/>
    <n v="509.59999999999997"/>
    <n v="493.15000000000003"/>
    <n v="553.35"/>
    <n v="0.94"/>
    <x v="0"/>
  </r>
  <r>
    <n v="2132"/>
    <n v="652"/>
    <n v="257"/>
    <n v="1114"/>
    <n v="107"/>
    <n v="1.581"/>
    <n v="1.4650000000000001"/>
    <n v="1.456"/>
    <n v="1.409"/>
    <n v="336"/>
    <d v="1899-12-30T06:43:00"/>
    <d v="2025-10-16T00:00:00"/>
    <n v="0.99"/>
    <n v="1.0860000000000001"/>
    <n v="1.581"/>
    <n v="16"/>
    <x v="9"/>
    <x v="39"/>
    <x v="9"/>
    <n v="553.35"/>
    <n v="512.75"/>
    <n v="509.59999999999997"/>
    <n v="493.15000000000003"/>
    <n v="553.35"/>
    <n v="0.94"/>
    <x v="0"/>
  </r>
  <r>
    <n v="2161"/>
    <n v="665"/>
    <n v="262"/>
    <n v="1126"/>
    <n v="107"/>
    <n v="1.581"/>
    <n v="1.4650000000000001"/>
    <n v="1.456"/>
    <n v="1.409"/>
    <n v="339"/>
    <d v="1899-12-30T07:04:00"/>
    <d v="2025-10-17T00:00:00"/>
    <n v="0.98"/>
    <n v="1.212"/>
    <n v="1.581"/>
    <n v="17"/>
    <x v="9"/>
    <x v="39"/>
    <x v="9"/>
    <n v="553.35"/>
    <n v="512.75"/>
    <n v="509.59999999999997"/>
    <n v="493.15000000000003"/>
    <n v="553.35"/>
    <n v="0.94"/>
    <x v="0"/>
  </r>
  <r>
    <n v="2190"/>
    <n v="678"/>
    <n v="267"/>
    <n v="1137"/>
    <n v="107"/>
    <n v="1.581"/>
    <n v="1.4650000000000001"/>
    <n v="1.456"/>
    <n v="1.409"/>
    <n v="342"/>
    <d v="1899-12-30T07:02:00"/>
    <d v="2025-10-18T00:00:00"/>
    <n v="0.99"/>
    <n v="1.3380000000000001"/>
    <n v="1.581"/>
    <n v="18"/>
    <x v="9"/>
    <x v="39"/>
    <x v="9"/>
    <n v="553.35"/>
    <n v="512.75"/>
    <n v="509.59999999999997"/>
    <n v="493.15000000000003"/>
    <n v="553.35"/>
    <n v="0.94"/>
    <x v="0"/>
  </r>
  <r>
    <n v="2219"/>
    <n v="678"/>
    <n v="267"/>
    <n v="1161"/>
    <n v="112"/>
    <n v="1.581"/>
    <n v="1.4650000000000001"/>
    <n v="1.456"/>
    <n v="1.409"/>
    <n v="345"/>
    <d v="1899-12-30T07:07:00"/>
    <d v="2025-10-19T00:00:00"/>
    <n v="0.99"/>
    <n v="1.004"/>
    <n v="1.581"/>
    <n v="19"/>
    <x v="9"/>
    <x v="40"/>
    <x v="9"/>
    <n v="553.35"/>
    <n v="512.75"/>
    <n v="509.59999999999997"/>
    <n v="493.15000000000003"/>
    <n v="553.35"/>
    <n v="0.94"/>
    <x v="0"/>
  </r>
  <r>
    <n v="2247"/>
    <n v="678"/>
    <n v="267"/>
    <n v="1185"/>
    <n v="117"/>
    <n v="1.581"/>
    <n v="1.4650000000000001"/>
    <n v="1.456"/>
    <n v="1.409"/>
    <n v="348"/>
    <d v="1899-12-30T07:07:00"/>
    <d v="2025-10-20T00:00:00"/>
    <n v="0.98"/>
    <n v="1.1839999999999999"/>
    <n v="1.581"/>
    <n v="20"/>
    <x v="9"/>
    <x v="40"/>
    <x v="9"/>
    <n v="553.35"/>
    <n v="512.75"/>
    <n v="509.59999999999997"/>
    <n v="493.15000000000003"/>
    <n v="553.35"/>
    <n v="0.94"/>
    <x v="0"/>
  </r>
  <r>
    <n v="2279"/>
    <n v="692"/>
    <n v="271"/>
    <n v="1197"/>
    <n v="117"/>
    <n v="1.581"/>
    <n v="1.4650000000000001"/>
    <n v="1.456"/>
    <n v="1.409"/>
    <n v="351"/>
    <d v="1899-12-30T09:36:00"/>
    <d v="2025-10-21T00:00:00"/>
    <n v="0.99"/>
    <n v="1.319"/>
    <n v="1.581"/>
    <n v="21"/>
    <x v="9"/>
    <x v="40"/>
    <x v="9"/>
    <n v="553.35"/>
    <n v="512.75"/>
    <n v="509.59999999999997"/>
    <n v="493.15000000000003"/>
    <n v="553.35"/>
    <n v="0.94"/>
    <x v="0"/>
  </r>
  <r>
    <n v="2305"/>
    <n v="703"/>
    <n v="277"/>
    <n v="1209"/>
    <n v="117"/>
    <n v="1.581"/>
    <n v="1.4650000000000001"/>
    <n v="1.456"/>
    <n v="1.409"/>
    <n v="354"/>
    <d v="1899-12-30T09:36:00"/>
    <d v="2025-10-22T00:00:00"/>
    <n v="0.99"/>
    <n v="1.0529999999999999"/>
    <n v="1.581"/>
    <n v="22"/>
    <x v="9"/>
    <x v="40"/>
    <x v="9"/>
    <n v="553.35"/>
    <n v="512.75"/>
    <n v="509.59999999999997"/>
    <n v="493.15000000000003"/>
    <n v="553.35"/>
    <n v="0.94"/>
    <x v="0"/>
  </r>
  <r>
    <n v="2335"/>
    <n v="719"/>
    <n v="282"/>
    <n v="1219"/>
    <n v="117"/>
    <n v="1.581"/>
    <n v="1.4890000000000001"/>
    <n v="1.456"/>
    <n v="1.409"/>
    <n v="358"/>
    <d v="1899-12-30T07:09:00"/>
    <d v="2025-10-23T00:00:00"/>
    <n v="0.98"/>
    <n v="1.24"/>
    <n v="1.581"/>
    <n v="23"/>
    <x v="9"/>
    <x v="40"/>
    <x v="9"/>
    <n v="553.35"/>
    <n v="521.15000000000009"/>
    <n v="509.59999999999997"/>
    <n v="493.15000000000003"/>
    <n v="553.35"/>
    <n v="0.94"/>
    <x v="0"/>
  </r>
  <r>
    <n v="2354"/>
    <n v="729"/>
    <n v="286"/>
    <n v="1232"/>
    <n v="117"/>
    <n v="1.581"/>
    <n v="1.4890000000000001"/>
    <n v="1.456"/>
    <n v="1.409"/>
    <n v="361"/>
    <d v="1899-12-30T06:44:00"/>
    <d v="2025-10-24T00:00:00"/>
    <n v="0.99"/>
    <n v="1.081"/>
    <n v="1.581"/>
    <n v="24"/>
    <x v="9"/>
    <x v="40"/>
    <x v="9"/>
    <n v="553.35"/>
    <n v="521.15000000000009"/>
    <n v="509.59999999999997"/>
    <n v="493.15000000000003"/>
    <n v="553.35"/>
    <n v="0.94"/>
    <x v="0"/>
  </r>
  <r>
    <n v="2393"/>
    <n v="741"/>
    <n v="291"/>
    <n v="1242"/>
    <n v="117"/>
    <n v="1.581"/>
    <n v="1.4890000000000001"/>
    <n v="1.456"/>
    <n v="1.409"/>
    <n v="364"/>
    <d v="1899-12-30T06:39:00"/>
    <d v="2025-10-25T00:00:00"/>
    <n v="0.99"/>
    <n v="1.252"/>
    <n v="1.581"/>
    <n v="25"/>
    <x v="9"/>
    <x v="40"/>
    <x v="9"/>
    <n v="553.35"/>
    <n v="521.15000000000009"/>
    <n v="509.59999999999997"/>
    <n v="493.15000000000003"/>
    <n v="553.35"/>
    <n v="0.94"/>
    <x v="0"/>
  </r>
  <r>
    <n v="2422"/>
    <n v="741"/>
    <n v="291"/>
    <n v="1266"/>
    <n v="122"/>
    <n v="1.581"/>
    <n v="1.4890000000000001"/>
    <n v="1.456"/>
    <n v="1.41"/>
    <n v="368"/>
    <d v="1899-12-30T07:07:00"/>
    <d v="2025-10-26T00:00:00"/>
    <n v="0.99"/>
    <n v="1.298"/>
    <n v="1.581"/>
    <n v="26"/>
    <x v="9"/>
    <x v="41"/>
    <x v="9"/>
    <n v="553.35"/>
    <n v="521.15000000000009"/>
    <n v="509.59999999999997"/>
    <n v="493.5"/>
    <n v="553.35"/>
    <n v="0.94"/>
    <x v="0"/>
  </r>
  <r>
    <n v="2451"/>
    <n v="741"/>
    <n v="291"/>
    <n v="1291"/>
    <n v="126"/>
    <n v="1.581"/>
    <n v="1.4890000000000001"/>
    <n v="1.456"/>
    <n v="1.41"/>
    <n v="371"/>
    <d v="1899-12-30T07:03:00"/>
    <d v="2025-10-27T00:00:00"/>
    <n v="0.99"/>
    <n v="0.1192"/>
    <n v="1.581"/>
    <n v="27"/>
    <x v="9"/>
    <x v="41"/>
    <x v="9"/>
    <n v="553.35"/>
    <n v="521.15000000000009"/>
    <n v="509.59999999999997"/>
    <n v="493.5"/>
    <n v="553.35"/>
    <n v="0.94"/>
    <x v="0"/>
  </r>
  <r>
    <n v="2479"/>
    <n v="753"/>
    <n v="296"/>
    <n v="1301"/>
    <n v="126"/>
    <n v="1.581"/>
    <n v="1.4890000000000001"/>
    <n v="1.456"/>
    <n v="1.1399999999999999"/>
    <n v="374"/>
    <d v="1899-12-30T07:01:00"/>
    <d v="2025-10-28T00:00:00"/>
    <n v="0.99"/>
    <n v="0.10970000000000001"/>
    <n v="1.581"/>
    <n v="28"/>
    <x v="9"/>
    <x v="41"/>
    <x v="9"/>
    <n v="553.35"/>
    <n v="521.15000000000009"/>
    <n v="509.59999999999997"/>
    <n v="398.99999999999994"/>
    <n v="553.35"/>
    <n v="0.94"/>
    <x v="0"/>
  </r>
  <r>
    <n v="2507"/>
    <n v="766"/>
    <n v="301"/>
    <n v="1312"/>
    <n v="126"/>
    <n v="1.581"/>
    <n v="1.4890000000000001"/>
    <n v="1.456"/>
    <n v="1.1399999999999999"/>
    <n v="376"/>
    <d v="1899-12-30T06:33:00"/>
    <d v="2025-10-29T00:00:00"/>
    <n v="0.99"/>
    <n v="0.12659999999999999"/>
    <n v="1.581"/>
    <n v="29"/>
    <x v="9"/>
    <x v="41"/>
    <x v="9"/>
    <n v="553.35"/>
    <n v="521.15000000000009"/>
    <n v="509.59999999999997"/>
    <n v="398.99999999999994"/>
    <n v="553.35"/>
    <n v="0.94"/>
    <x v="0"/>
  </r>
  <r>
    <n v="2536"/>
    <n v="779"/>
    <n v="306"/>
    <n v="1324"/>
    <n v="126"/>
    <n v="1.581"/>
    <n v="1.4890000000000001"/>
    <n v="1.456"/>
    <n v="1.41"/>
    <n v="3379"/>
    <d v="1899-12-30T06:33:00"/>
    <d v="2025-10-30T00:00:00"/>
    <n v="0.99"/>
    <n v="1.246"/>
    <n v="1.581"/>
    <n v="30"/>
    <x v="9"/>
    <x v="41"/>
    <x v="9"/>
    <n v="553.35"/>
    <n v="521.15000000000009"/>
    <n v="509.59999999999997"/>
    <n v="493.5"/>
    <n v="553.35"/>
    <n v="0.94"/>
    <x v="0"/>
  </r>
  <r>
    <n v="2565"/>
    <n v="791"/>
    <n v="311"/>
    <n v="1335"/>
    <n v="126"/>
    <n v="1.581"/>
    <n v="1.4890000000000001"/>
    <n v="1.456"/>
    <n v="1.41"/>
    <n v="382"/>
    <d v="1899-12-30T06:59:00"/>
    <d v="2025-10-31T00:00:00"/>
    <n v="0.98"/>
    <n v="1.157"/>
    <n v="1.581"/>
    <n v="31"/>
    <x v="9"/>
    <x v="41"/>
    <x v="9"/>
    <n v="553.35"/>
    <n v="521.15000000000009"/>
    <n v="509.59999999999997"/>
    <n v="493.5"/>
    <n v="553.35"/>
    <n v="0.94"/>
    <x v="0"/>
  </r>
  <r>
    <n v="2593"/>
    <n v="804"/>
    <n v="316"/>
    <n v="1346"/>
    <n v="126"/>
    <n v="0"/>
    <n v="0"/>
    <n v="1.2050000000000001"/>
    <n v="0"/>
    <n v="385"/>
    <d v="1899-12-30T06:53:00"/>
    <d v="2025-11-01T00:00:00"/>
    <n v="0.98"/>
    <n v="9.8000000000000007"/>
    <n v="1.2050000000000001"/>
    <n v="1"/>
    <x v="10"/>
    <x v="41"/>
    <x v="10"/>
    <n v="0"/>
    <n v="0"/>
    <n v="421.75"/>
    <n v="0"/>
    <n v="421.75"/>
    <n v="0.94"/>
    <x v="0"/>
  </r>
  <r>
    <n v="2622"/>
    <n v="804"/>
    <n v="316"/>
    <n v="1370"/>
    <n v="131"/>
    <n v="0"/>
    <n v="0"/>
    <n v="1.3979999999999999"/>
    <n v="1.284"/>
    <n v="388"/>
    <d v="1899-12-30T07:19:00"/>
    <d v="2025-11-02T00:00:00"/>
    <n v="0.98"/>
    <n v="1.012"/>
    <n v="1.3979999999999999"/>
    <n v="2"/>
    <x v="10"/>
    <x v="14"/>
    <x v="10"/>
    <n v="0"/>
    <n v="0"/>
    <n v="489.29999999999995"/>
    <n v="449.40000000000003"/>
    <n v="489.29999999999995"/>
    <n v="0.94"/>
    <x v="0"/>
  </r>
  <r>
    <n v="2650"/>
    <n v="804"/>
    <n v="316"/>
    <n v="1393"/>
    <n v="136"/>
    <n v="0"/>
    <n v="0"/>
    <n v="1.3979999999999999"/>
    <n v="1.2889999999999999"/>
    <n v="392"/>
    <d v="1899-12-30T06:49:00"/>
    <d v="2025-11-03T00:00:00"/>
    <n v="0.99"/>
    <n v="1.2410000000000001"/>
    <n v="1.3979999999999999"/>
    <n v="3"/>
    <x v="10"/>
    <x v="14"/>
    <x v="10"/>
    <n v="0"/>
    <n v="0"/>
    <n v="489.29999999999995"/>
    <n v="451.15"/>
    <n v="489.29999999999995"/>
    <n v="0.94"/>
    <x v="0"/>
  </r>
  <r>
    <n v="2679"/>
    <n v="804"/>
    <n v="316"/>
    <n v="1418"/>
    <n v="141"/>
    <n v="0"/>
    <n v="0"/>
    <n v="1.423"/>
    <n v="1.341"/>
    <n v="395"/>
    <d v="1899-12-30T07:05:00"/>
    <d v="2025-11-04T00:00:00"/>
    <n v="0.99"/>
    <n v="1.0409999999999999"/>
    <n v="1.423"/>
    <n v="4"/>
    <x v="10"/>
    <x v="14"/>
    <x v="10"/>
    <n v="0"/>
    <n v="0"/>
    <n v="498.05"/>
    <n v="469.34999999999997"/>
    <n v="498.05"/>
    <n v="0.94"/>
    <x v="0"/>
  </r>
  <r>
    <n v="2708"/>
    <n v="816"/>
    <n v="321"/>
    <n v="1429"/>
    <n v="141"/>
    <n v="1.3919999999999999"/>
    <n v="1.375"/>
    <n v="1.423"/>
    <n v="1.341"/>
    <n v="398"/>
    <d v="1899-12-30T06:41:00"/>
    <d v="2025-11-05T00:00:00"/>
    <n v="0.99"/>
    <n v="1.044"/>
    <n v="1.423"/>
    <n v="5"/>
    <x v="10"/>
    <x v="14"/>
    <x v="10"/>
    <n v="487.2"/>
    <n v="481.25"/>
    <n v="498.05"/>
    <n v="469.34999999999997"/>
    <n v="498.05"/>
    <n v="0.94"/>
    <x v="0"/>
  </r>
  <r>
    <n v="2737"/>
    <n v="828"/>
    <n v="326"/>
    <n v="1441"/>
    <n v="141"/>
    <n v="1.4119999999999999"/>
    <n v="1.383"/>
    <n v="1.423"/>
    <n v="1.341"/>
    <n v="401"/>
    <d v="1899-12-30T06:35:00"/>
    <d v="2025-11-06T00:00:00"/>
    <n v="0.99"/>
    <n v="1.1639999999999999"/>
    <n v="1.423"/>
    <n v="6"/>
    <x v="10"/>
    <x v="14"/>
    <x v="10"/>
    <n v="494.2"/>
    <n v="484.05"/>
    <n v="498.05"/>
    <n v="469.34999999999997"/>
    <n v="498.05"/>
    <n v="0.94"/>
    <x v="0"/>
  </r>
  <r>
    <n v="2769"/>
    <n v="842"/>
    <n v="331"/>
    <n v="1454"/>
    <n v="141"/>
    <n v="1.5129999999999999"/>
    <n v="1.427"/>
    <n v="1.423"/>
    <n v="1.341"/>
    <n v="405"/>
    <d v="1899-12-30T08:22:00"/>
    <d v="2025-11-07T00:00:00"/>
    <n v="0.99"/>
    <n v="1.1379999999999999"/>
    <n v="1.5129999999999999"/>
    <n v="7"/>
    <x v="10"/>
    <x v="14"/>
    <x v="10"/>
    <n v="529.54999999999995"/>
    <n v="499.45"/>
    <n v="498.05"/>
    <n v="469.34999999999997"/>
    <n v="529.54999999999995"/>
    <n v="0.94"/>
    <x v="0"/>
  </r>
  <r>
    <n v="2797"/>
    <n v="854"/>
    <n v="336"/>
    <n v="1465"/>
    <n v="141"/>
    <n v="1.5129999999999999"/>
    <n v="1.427"/>
    <n v="1.423"/>
    <n v="1.341"/>
    <n v="408"/>
    <d v="1899-12-30T06:53:00"/>
    <d v="2025-11-08T00:00:00"/>
    <n v="0.98"/>
    <n v="1.1100000000000001"/>
    <n v="1.5129999999999999"/>
    <n v="8"/>
    <x v="10"/>
    <x v="14"/>
    <x v="10"/>
    <n v="529.54999999999995"/>
    <n v="499.45"/>
    <n v="498.05"/>
    <n v="469.34999999999997"/>
    <n v="529.54999999999995"/>
    <n v="0.94"/>
    <x v="0"/>
  </r>
  <r>
    <n v="2827"/>
    <n v="854"/>
    <n v="336"/>
    <n v="1489"/>
    <n v="146"/>
    <n v="1.5129999999999999"/>
    <n v="1.427"/>
    <n v="1.4670000000000001"/>
    <n v="1.353"/>
    <n v="412"/>
    <d v="1899-12-30T06:54:00"/>
    <d v="2025-11-09T00:00:00"/>
    <n v="0.98"/>
    <n v="1.3260000000000001"/>
    <n v="1.5129999999999999"/>
    <n v="9"/>
    <x v="10"/>
    <x v="42"/>
    <x v="10"/>
    <n v="529.54999999999995"/>
    <n v="499.45"/>
    <n v="513.45000000000005"/>
    <n v="473.55"/>
    <n v="529.54999999999995"/>
    <n v="0.94"/>
    <x v="0"/>
  </r>
  <r>
    <n v="2856"/>
    <n v="854"/>
    <n v="336"/>
    <n v="1513"/>
    <n v="151"/>
    <n v="1.5129999999999999"/>
    <n v="1.427"/>
    <n v="1.4670000000000001"/>
    <n v="1.353"/>
    <n v="415"/>
    <d v="1899-12-30T07:01:00"/>
    <d v="2025-11-10T00:00:00"/>
    <n v="0.98"/>
    <n v="1.0489999999999999"/>
    <n v="1.5129999999999999"/>
    <n v="10"/>
    <x v="10"/>
    <x v="42"/>
    <x v="10"/>
    <n v="529.54999999999995"/>
    <n v="499.45"/>
    <n v="513.45000000000005"/>
    <n v="473.55"/>
    <n v="529.54999999999995"/>
    <n v="0.94"/>
    <x v="0"/>
  </r>
  <r>
    <n v="2888"/>
    <n v="868"/>
    <n v="341"/>
    <n v="1526"/>
    <n v="151"/>
    <n v="1.5129999999999999"/>
    <n v="1.427"/>
    <n v="1.4670000000000001"/>
    <n v="1.353"/>
    <n v="419"/>
    <d v="1899-12-30T08:35:00"/>
    <d v="2025-11-11T00:00:00"/>
    <n v="0.99"/>
    <n v="1.2210000000000001"/>
    <n v="1.5129999999999999"/>
    <n v="11"/>
    <x v="10"/>
    <x v="42"/>
    <x v="10"/>
    <n v="529.54999999999995"/>
    <n v="499.45"/>
    <n v="513.45000000000005"/>
    <n v="473.55"/>
    <n v="529.54999999999995"/>
    <n v="0.94"/>
    <x v="0"/>
  </r>
  <r>
    <n v="2915"/>
    <n v="880"/>
    <n v="346"/>
    <n v="1536"/>
    <n v="151"/>
    <n v="1.5129999999999999"/>
    <n v="1.427"/>
    <n v="1.4670000000000001"/>
    <n v="1.353"/>
    <n v="421"/>
    <d v="1899-12-30T06:31:00"/>
    <d v="2025-12-11T00:00:00"/>
    <n v="0.99"/>
    <n v="1.2410000000000001"/>
    <n v="1.5129999999999999"/>
    <n v="11"/>
    <x v="11"/>
    <x v="43"/>
    <x v="11"/>
    <n v="529.54999999999995"/>
    <n v="499.45"/>
    <n v="513.45000000000005"/>
    <n v="473.55"/>
    <n v="529.54999999999995"/>
    <n v="0.94"/>
    <x v="0"/>
  </r>
  <r>
    <n v="2945"/>
    <n v="893"/>
    <n v="351"/>
    <n v="1548"/>
    <n v="151"/>
    <n v="1.5129999999999999"/>
    <n v="1.427"/>
    <n v="1.4670000000000001"/>
    <n v="1.353"/>
    <n v="425"/>
    <d v="1899-12-30T08:35:00"/>
    <d v="2025-11-13T00:00:00"/>
    <n v="0.99"/>
    <n v="1.1759999999999999"/>
    <n v="1.5129999999999999"/>
    <n v="13"/>
    <x v="10"/>
    <x v="42"/>
    <x v="10"/>
    <n v="529.54999999999995"/>
    <n v="499.45"/>
    <n v="513.45000000000005"/>
    <n v="473.55"/>
    <n v="529.54999999999995"/>
    <n v="0.94"/>
    <x v="0"/>
  </r>
  <r>
    <n v="2976"/>
    <n v="907"/>
    <n v="356"/>
    <n v="1560"/>
    <n v="151"/>
    <n v="1.5129999999999999"/>
    <n v="1.427"/>
    <n v="1.4670000000000001"/>
    <n v="1.353"/>
    <n v="429"/>
    <d v="1899-12-30T07:01:00"/>
    <d v="2025-11-14T00:00:00"/>
    <n v="0.99"/>
    <n v="1.1499999999999999"/>
    <n v="1.5129999999999999"/>
    <n v="14"/>
    <x v="10"/>
    <x v="42"/>
    <x v="10"/>
    <n v="529.54999999999995"/>
    <n v="499.45"/>
    <n v="513.45000000000005"/>
    <n v="473.55"/>
    <n v="529.54999999999995"/>
    <n v="0.94"/>
    <x v="0"/>
  </r>
  <r>
    <n v="3007"/>
    <n v="921"/>
    <n v="362"/>
    <n v="1572"/>
    <n v="151"/>
    <n v="1.526"/>
    <n v="1.427"/>
    <n v="1.4670000000000001"/>
    <n v="1.353"/>
    <n v="433"/>
    <d v="1899-12-30T07:04:00"/>
    <d v="2025-11-15T00:00:00"/>
    <n v="0.98"/>
    <n v="1.194"/>
    <n v="1.526"/>
    <n v="15"/>
    <x v="10"/>
    <x v="42"/>
    <x v="10"/>
    <n v="534.1"/>
    <n v="499.45"/>
    <n v="513.45000000000005"/>
    <n v="473.55"/>
    <n v="534.1"/>
    <n v="0.94"/>
    <x v="0"/>
  </r>
  <r>
    <n v="3035"/>
    <n v="921"/>
    <n v="362"/>
    <n v="1590"/>
    <n v="156"/>
    <n v="1.526"/>
    <n v="1.427"/>
    <n v="1.5029999999999999"/>
    <n v="1.371"/>
    <n v="437"/>
    <d v="1899-12-30T08:04:56"/>
    <d v="2025-11-16T00:00:00"/>
    <n v="0.98"/>
    <n v="1.05"/>
    <n v="1.526"/>
    <n v="16"/>
    <x v="10"/>
    <x v="44"/>
    <x v="10"/>
    <n v="534.1"/>
    <n v="499.45"/>
    <n v="526.04999999999995"/>
    <n v="479.85"/>
    <n v="534.1"/>
    <n v="0.94"/>
    <x v="0"/>
  </r>
  <r>
    <n v="3063"/>
    <n v="921"/>
    <n v="362"/>
    <n v="1619"/>
    <n v="161"/>
    <n v="1.526"/>
    <n v="1.427"/>
    <n v="1.5029999999999999"/>
    <n v="1.371"/>
    <n v="440"/>
    <d v="1899-12-30T07:04:00"/>
    <d v="2025-11-17T00:00:00"/>
    <n v="0.98"/>
    <n v="1.1499999999999999"/>
    <n v="1.526"/>
    <n v="17"/>
    <x v="10"/>
    <x v="44"/>
    <x v="10"/>
    <n v="534.1"/>
    <n v="499.45"/>
    <n v="526.04999999999995"/>
    <n v="479.85"/>
    <n v="534.1"/>
    <n v="0.94"/>
    <x v="0"/>
  </r>
  <r>
    <n v="3093"/>
    <n v="933"/>
    <n v="367"/>
    <n v="1631"/>
    <n v="161"/>
    <n v="1.526"/>
    <n v="1.427"/>
    <n v="1.5029999999999999"/>
    <n v="1.371"/>
    <n v="444"/>
    <d v="1899-12-30T07:13:00"/>
    <d v="2025-11-18T00:00:00"/>
    <n v="0.99"/>
    <n v="1.1599999999999999"/>
    <n v="1.526"/>
    <n v="18"/>
    <x v="10"/>
    <x v="44"/>
    <x v="10"/>
    <n v="534.1"/>
    <n v="499.45"/>
    <n v="526.04999999999995"/>
    <n v="479.85"/>
    <n v="534.1"/>
    <n v="0.94"/>
    <x v="0"/>
  </r>
  <r>
    <n v="3121"/>
    <n v="945"/>
    <n v="372"/>
    <n v="1642"/>
    <n v="161"/>
    <n v="1.526"/>
    <n v="1.427"/>
    <n v="1.5029999999999999"/>
    <n v="1.377"/>
    <n v="447"/>
    <d v="1899-12-30T06:37:00"/>
    <d v="2025-11-19T00:00:00"/>
    <n v="0.98"/>
    <n v="1.1200000000000001"/>
    <n v="1.526"/>
    <n v="19"/>
    <x v="10"/>
    <x v="44"/>
    <x v="10"/>
    <n v="534.1"/>
    <n v="499.45"/>
    <n v="526.04999999999995"/>
    <n v="481.95"/>
    <n v="534.1"/>
    <n v="0.94"/>
    <x v="0"/>
  </r>
  <r>
    <n v="3151"/>
    <n v="959"/>
    <n v="377"/>
    <n v="1654"/>
    <n v="161"/>
    <n v="1.526"/>
    <n v="1.427"/>
    <n v="1.5029999999999999"/>
    <n v="1.377"/>
    <n v="451"/>
    <d v="1899-12-30T06:37:00"/>
    <d v="2025-11-20T00:00:00"/>
    <n v="0.96"/>
    <n v="1.427"/>
    <n v="1.526"/>
    <n v="20"/>
    <x v="10"/>
    <x v="44"/>
    <x v="10"/>
    <n v="534.1"/>
    <n v="499.45"/>
    <n v="526.04999999999995"/>
    <n v="481.95"/>
    <n v="534.1"/>
    <n v="0.94"/>
    <x v="0"/>
  </r>
  <r>
    <n v="3182"/>
    <n v="972"/>
    <n v="382"/>
    <n v="1667"/>
    <n v="161"/>
    <n v="1.526"/>
    <n v="1.427"/>
    <n v="1.5029999999999999"/>
    <n v="1.371"/>
    <n v="455"/>
    <d v="1899-12-30T07:00:00"/>
    <d v="2025-11-21T00:00:00"/>
    <n v="0.99"/>
    <n v="1.1240000000000001"/>
    <n v="1.526"/>
    <n v="21"/>
    <x v="10"/>
    <x v="44"/>
    <x v="10"/>
    <n v="534.1"/>
    <n v="499.45"/>
    <n v="526.04999999999995"/>
    <n v="479.85"/>
    <n v="534.1"/>
    <n v="0.94"/>
    <x v="0"/>
  </r>
  <r>
    <n v="3213"/>
    <n v="985"/>
    <n v="387"/>
    <n v="1679"/>
    <n v="161"/>
    <n v="1.5409999999999999"/>
    <n v="1.427"/>
    <n v="1.5029999999999999"/>
    <n v="1.371"/>
    <n v="458"/>
    <d v="1899-12-30T07:25:00"/>
    <d v="2025-11-22T00:00:00"/>
    <n v="0.99"/>
    <n v="1.0449999999999999"/>
    <n v="1.5409999999999999"/>
    <n v="22"/>
    <x v="10"/>
    <x v="44"/>
    <x v="10"/>
    <n v="539.35"/>
    <n v="499.45"/>
    <n v="526.04999999999995"/>
    <n v="479.85"/>
    <n v="539.35"/>
    <n v="0.94"/>
    <x v="0"/>
  </r>
  <r>
    <n v="3242"/>
    <n v="985"/>
    <n v="387"/>
    <n v="1703"/>
    <n v="165"/>
    <n v="1.5409999999999999"/>
    <n v="1.427"/>
    <n v="1.5029999999999999"/>
    <n v="1.371"/>
    <n v="462"/>
    <d v="1899-12-30T07:11:00"/>
    <d v="2025-11-23T00:00:00"/>
    <n v="0.99"/>
    <n v="1.0580000000000001"/>
    <n v="1.5409999999999999"/>
    <n v="23"/>
    <x v="10"/>
    <x v="45"/>
    <x v="10"/>
    <n v="539.35"/>
    <n v="499.45"/>
    <n v="526.04999999999995"/>
    <n v="479.85"/>
    <n v="539.35"/>
    <n v="0.94"/>
    <x v="0"/>
  </r>
  <r>
    <n v="3269"/>
    <n v="985"/>
    <n v="387"/>
    <n v="1725"/>
    <n v="170"/>
    <n v="1.5409999999999999"/>
    <n v="1.427"/>
    <n v="1.5820000000000001"/>
    <n v="1.385"/>
    <n v="466"/>
    <d v="1899-12-30T07:11:00"/>
    <d v="2025-11-24T00:00:00"/>
    <n v="0.99"/>
    <n v="0.97699999999999998"/>
    <n v="1.5820000000000001"/>
    <n v="24"/>
    <x v="10"/>
    <x v="45"/>
    <x v="10"/>
    <n v="539.35"/>
    <n v="499.45"/>
    <n v="553.70000000000005"/>
    <n v="484.75"/>
    <n v="553.70000000000005"/>
    <n v="0.94"/>
    <x v="0"/>
  </r>
  <r>
    <n v="3300"/>
    <n v="985"/>
    <n v="393"/>
    <n v="1737"/>
    <n v="170"/>
    <n v="1.5409999999999999"/>
    <n v="1.5660000000000001"/>
    <n v="1.5820000000000001"/>
    <n v="1.385"/>
    <n v="470"/>
    <d v="1899-12-30T07:43:00"/>
    <d v="2025-11-25T00:00:00"/>
    <n v="0.99"/>
    <n v="1.08"/>
    <n v="1.5820000000000001"/>
    <n v="25"/>
    <x v="10"/>
    <x v="45"/>
    <x v="10"/>
    <n v="539.35"/>
    <n v="548.1"/>
    <n v="553.70000000000005"/>
    <n v="484.75"/>
    <n v="553.70000000000005"/>
    <n v="0.94"/>
    <x v="0"/>
  </r>
  <r>
    <n v="3321"/>
    <n v="1007"/>
    <n v="395"/>
    <n v="1748"/>
    <n v="170"/>
    <n v="1.5409999999999999"/>
    <n v="1.5660000000000001"/>
    <n v="1.5820000000000001"/>
    <n v="1.385"/>
    <n v="473"/>
    <d v="1899-12-30T06:34:00"/>
    <d v="2025-11-26T00:00:00"/>
    <n v="0.98"/>
    <n v="1.081"/>
    <n v="1.5820000000000001"/>
    <n v="26"/>
    <x v="10"/>
    <x v="45"/>
    <x v="10"/>
    <n v="539.35"/>
    <n v="548.1"/>
    <n v="553.70000000000005"/>
    <n v="484.75"/>
    <n v="553.70000000000005"/>
    <n v="0.94"/>
    <x v="0"/>
  </r>
  <r>
    <n v="3352"/>
    <n v="1020"/>
    <n v="400"/>
    <n v="1760"/>
    <n v="170"/>
    <n v="1.5529999999999999"/>
    <n v="1.5660000000000001"/>
    <n v="1.5820000000000001"/>
    <n v="1.385"/>
    <n v="478"/>
    <d v="1899-12-30T06:36:00"/>
    <d v="2025-11-27T00:00:00"/>
    <n v="0.98"/>
    <n v="1.125"/>
    <n v="1.5820000000000001"/>
    <n v="27"/>
    <x v="10"/>
    <x v="45"/>
    <x v="10"/>
    <n v="543.54999999999995"/>
    <n v="548.1"/>
    <n v="553.70000000000005"/>
    <n v="484.75"/>
    <n v="553.70000000000005"/>
    <n v="0.94"/>
    <x v="0"/>
  </r>
  <r>
    <n v="3382"/>
    <n v="1033"/>
    <n v="405"/>
    <n v="1772"/>
    <n v="170"/>
    <n v="1.5529999999999999"/>
    <n v="1.5660000000000001"/>
    <n v="1.5820000000000001"/>
    <n v="1.385"/>
    <n v="482"/>
    <d v="1899-12-30T07:06:00"/>
    <d v="2025-11-28T00:00:00"/>
    <n v="0.98"/>
    <n v="1.0740000000000001"/>
    <n v="1.5820000000000001"/>
    <n v="28"/>
    <x v="10"/>
    <x v="45"/>
    <x v="10"/>
    <n v="543.54999999999995"/>
    <n v="548.1"/>
    <n v="553.70000000000005"/>
    <n v="484.75"/>
    <n v="553.70000000000005"/>
    <n v="0.94"/>
    <x v="0"/>
  </r>
  <r>
    <n v="3413"/>
    <n v="1046"/>
    <n v="410"/>
    <n v="1785"/>
    <n v="170"/>
    <n v="1.5549999999999999"/>
    <n v="1.5660000000000001"/>
    <n v="1.5820000000000001"/>
    <n v="1.385"/>
    <n v="486"/>
    <d v="1899-12-30T07:07:00"/>
    <d v="2025-11-29T00:00:00"/>
    <n v="0.97"/>
    <n v="1.159"/>
    <n v="1.5820000000000001"/>
    <n v="29"/>
    <x v="10"/>
    <x v="45"/>
    <x v="10"/>
    <n v="544.25"/>
    <n v="548.1"/>
    <n v="553.70000000000005"/>
    <n v="484.75"/>
    <n v="553.70000000000005"/>
    <n v="0.94"/>
    <x v="0"/>
  </r>
  <r>
    <n v="3440"/>
    <n v="1046"/>
    <n v="410"/>
    <n v="1807"/>
    <n v="175"/>
    <n v="1.5549999999999999"/>
    <n v="1.5660000000000001"/>
    <n v="1.5820000000000001"/>
    <n v="1.385"/>
    <n v="489"/>
    <d v="1899-12-30T07:06:00"/>
    <d v="2025-11-30T00:00:00"/>
    <n v="0.98"/>
    <n v="1.07"/>
    <n v="1.5820000000000001"/>
    <n v="30"/>
    <x v="10"/>
    <x v="15"/>
    <x v="10"/>
    <n v="544.25"/>
    <n v="548.1"/>
    <n v="553.70000000000005"/>
    <n v="484.75"/>
    <n v="553.70000000000005"/>
    <n v="0.94"/>
    <x v="0"/>
  </r>
  <r>
    <n v="3470"/>
    <n v="1046"/>
    <n v="410"/>
    <n v="1832"/>
    <n v="180"/>
    <n v="0"/>
    <n v="0"/>
    <n v="1.2829999999999999"/>
    <n v="0"/>
    <n v="493"/>
    <d v="1899-12-30T07:09:00"/>
    <d v="2025-12-01T00:00:00"/>
    <n v="0.95"/>
    <n v="1.079"/>
    <n v="1.2829999999999999"/>
    <n v="1"/>
    <x v="11"/>
    <x v="15"/>
    <x v="11"/>
    <n v="0"/>
    <n v="0"/>
    <n v="449.04999999999995"/>
    <n v="0"/>
    <n v="449.04999999999995"/>
    <n v="0.94"/>
    <x v="0"/>
  </r>
  <r>
    <n v="3498"/>
    <n v="1058"/>
    <n v="415"/>
    <n v="1843"/>
    <n v="180"/>
    <n v="1.5389999999999999"/>
    <n v="1.468"/>
    <n v="1.361"/>
    <n v="0"/>
    <n v="497"/>
    <d v="1899-12-30T07:17:00"/>
    <d v="2025-12-02T00:00:00"/>
    <n v="0.99"/>
    <n v="1.0669999999999999"/>
    <n v="1.5389999999999999"/>
    <n v="2"/>
    <x v="11"/>
    <x v="15"/>
    <x v="11"/>
    <n v="538.65"/>
    <n v="513.79999999999995"/>
    <n v="476.35"/>
    <n v="0"/>
    <n v="538.65"/>
    <n v="0.94"/>
    <x v="0"/>
  </r>
  <r>
    <n v="3527"/>
    <n v="1072"/>
    <n v="420"/>
    <n v="1854"/>
    <n v="180"/>
    <n v="1.63"/>
    <n v="1.468"/>
    <n v="1.361"/>
    <n v="0"/>
    <n v="500"/>
    <d v="1899-12-30T06:43:00"/>
    <d v="2025-12-03T00:00:00"/>
    <n v="0.99"/>
    <n v="1.3109999999999999"/>
    <n v="1.63"/>
    <n v="3"/>
    <x v="11"/>
    <x v="15"/>
    <x v="11"/>
    <n v="570.5"/>
    <n v="513.79999999999995"/>
    <n v="476.35"/>
    <n v="0"/>
    <n v="570.5"/>
    <n v="0.94"/>
    <x v="0"/>
  </r>
  <r>
    <n v="3557"/>
    <n v="1080"/>
    <n v="425"/>
    <n v="1866"/>
    <n v="180"/>
    <n v="1.63"/>
    <n v="1.47"/>
    <n v="1.361"/>
    <n v="0"/>
    <n v="504"/>
    <d v="1899-12-30T06:35:00"/>
    <d v="2025-12-04T00:00:00"/>
    <n v="1"/>
    <n v="0.87"/>
    <n v="1.63"/>
    <n v="4"/>
    <x v="11"/>
    <x v="15"/>
    <x v="11"/>
    <n v="570.5"/>
    <n v="514.5"/>
    <n v="476.35"/>
    <n v="0"/>
    <n v="570.5"/>
    <n v="0.94"/>
    <x v="0"/>
  </r>
  <r>
    <n v="3587"/>
    <n v="1097"/>
    <n v="430"/>
    <n v="1878"/>
    <n v="180"/>
    <n v="1.63"/>
    <n v="1.4790000000000001"/>
    <n v="1.361"/>
    <n v="0"/>
    <n v="508"/>
    <d v="1899-12-30T07:02:00"/>
    <d v="2025-12-05T00:00:00"/>
    <n v="0.99"/>
    <n v="1.161"/>
    <n v="1.63"/>
    <n v="5"/>
    <x v="11"/>
    <x v="15"/>
    <x v="11"/>
    <n v="570.5"/>
    <n v="517.65"/>
    <n v="476.35"/>
    <n v="0"/>
    <n v="570.5"/>
    <n v="0.94"/>
    <x v="0"/>
  </r>
  <r>
    <n v="3615"/>
    <n v="1110"/>
    <n v="435"/>
    <n v="1889"/>
    <n v="180"/>
    <n v="1.63"/>
    <n v="1.4790000000000001"/>
    <n v="1.361"/>
    <n v="0"/>
    <n v="512"/>
    <d v="1899-12-30T06:55:00"/>
    <d v="2025-12-06T00:00:00"/>
    <n v="0.99"/>
    <n v="1.155"/>
    <n v="1.63"/>
    <n v="6"/>
    <x v="11"/>
    <x v="15"/>
    <x v="11"/>
    <n v="570.5"/>
    <n v="517.65"/>
    <n v="476.35"/>
    <n v="0"/>
    <n v="570.5"/>
    <n v="0.94"/>
    <x v="0"/>
  </r>
  <r>
    <n v="3668"/>
    <n v="1110"/>
    <n v="435"/>
    <n v="1912"/>
    <n v="190"/>
    <n v="1.63"/>
    <n v="1.4790000000000001"/>
    <n v="1.361"/>
    <n v="0"/>
    <n v="516"/>
    <d v="1899-12-30T10:20:00"/>
    <d v="2025-12-07T00:00:00"/>
    <n v="0.99"/>
    <n v="1.06"/>
    <n v="1.63"/>
    <n v="7"/>
    <x v="11"/>
    <x v="43"/>
    <x v="11"/>
    <n v="570.5"/>
    <n v="517.65"/>
    <n v="476.35"/>
    <n v="0"/>
    <n v="570.5"/>
    <n v="0.94"/>
    <x v="0"/>
  </r>
  <r>
    <n v="3668"/>
    <n v="1110"/>
    <n v="435"/>
    <n v="1932"/>
    <n v="190"/>
    <n v="1.63"/>
    <n v="1.4790000000000001"/>
    <n v="1.4570000000000001"/>
    <n v="0.1414"/>
    <n v="520"/>
    <d v="1899-12-30T06:57:00"/>
    <d v="2025-12-08T00:00:00"/>
    <n v="0.99"/>
    <n v="1.085"/>
    <n v="1.63"/>
    <n v="8"/>
    <x v="11"/>
    <x v="43"/>
    <x v="11"/>
    <n v="570.5"/>
    <n v="517.65"/>
    <n v="509.95000000000005"/>
    <n v="49.49"/>
    <n v="570.5"/>
    <n v="0.94"/>
    <x v="0"/>
  </r>
  <r>
    <n v="3697"/>
    <n v="1122"/>
    <n v="440"/>
    <n v="1943"/>
    <n v="190"/>
    <n v="1.63"/>
    <n v="1.4790000000000001"/>
    <n v="1.4870000000000001"/>
    <n v="0.1414"/>
    <n v="523"/>
    <d v="1899-12-30T07:04:00"/>
    <d v="2025-12-09T00:00:00"/>
    <n v="0.98"/>
    <n v="0.1178"/>
    <n v="1.63"/>
    <n v="9"/>
    <x v="11"/>
    <x v="43"/>
    <x v="11"/>
    <n v="570.5"/>
    <n v="517.65"/>
    <n v="520.45000000000005"/>
    <n v="49.49"/>
    <n v="570.5"/>
    <n v="0.94"/>
    <x v="0"/>
  </r>
  <r>
    <n v="3725"/>
    <n v="1135"/>
    <n v="445"/>
    <n v="1954"/>
    <n v="190"/>
    <n v="1.63"/>
    <n v="1.4790000000000001"/>
    <n v="1.4870000000000001"/>
    <n v="0.1414"/>
    <n v="527"/>
    <d v="1899-12-30T06:49:00"/>
    <d v="2025-12-10T00:00:00"/>
    <n v="0.99"/>
    <n v="0.93"/>
    <n v="1.63"/>
    <n v="10"/>
    <x v="11"/>
    <x v="43"/>
    <x v="11"/>
    <n v="570.5"/>
    <n v="517.65"/>
    <n v="520.45000000000005"/>
    <n v="49.49"/>
    <n v="570.5"/>
    <n v="0.94"/>
    <x v="0"/>
  </r>
  <r>
    <n v="3753"/>
    <n v="1147"/>
    <n v="450"/>
    <n v="1960"/>
    <n v="190"/>
    <n v="1.63"/>
    <n v="1.4790000000000001"/>
    <n v="1.4870000000000001"/>
    <n v="0.1414"/>
    <n v="530"/>
    <d v="1899-12-30T06:36:00"/>
    <d v="2025-12-11T00:00:00"/>
    <n v="0.98"/>
    <n v="1.0549999999999999"/>
    <n v="1.63"/>
    <n v="11"/>
    <x v="11"/>
    <x v="43"/>
    <x v="11"/>
    <n v="570.5"/>
    <n v="517.65"/>
    <n v="520.45000000000005"/>
    <n v="49.49"/>
    <n v="570.5"/>
    <n v="0.94"/>
    <x v="0"/>
  </r>
  <r>
    <n v="3782"/>
    <n v="1160"/>
    <n v="455"/>
    <n v="1976"/>
    <n v="190"/>
    <n v="1.63"/>
    <n v="1.4790000000000001"/>
    <n v="1.4870000000000001"/>
    <n v="0.1414"/>
    <n v="534"/>
    <d v="1899-12-30T07:01:00"/>
    <d v="2025-12-12T00:00:00"/>
    <n v="0.98"/>
    <n v="0.98899999999999999"/>
    <n v="1.63"/>
    <n v="12"/>
    <x v="11"/>
    <x v="43"/>
    <x v="11"/>
    <n v="570.5"/>
    <n v="517.65"/>
    <n v="520.45000000000005"/>
    <n v="49.49"/>
    <n v="570.5"/>
    <n v="0.94"/>
    <x v="0"/>
  </r>
  <r>
    <n v="3811"/>
    <n v="1173"/>
    <n v="459"/>
    <n v="1988"/>
    <n v="190"/>
    <n v="1.63"/>
    <n v="1.4790000000000001"/>
    <n v="1.4870000000000001"/>
    <n v="0.1414"/>
    <n v="538"/>
    <d v="1899-12-30T07:03:00"/>
    <d v="2025-12-13T00:00:00"/>
    <n v="0.99"/>
    <n v="0.85099999999999998"/>
    <n v="1.63"/>
    <n v="13"/>
    <x v="11"/>
    <x v="43"/>
    <x v="11"/>
    <n v="570.5"/>
    <n v="517.65"/>
    <n v="520.45000000000005"/>
    <n v="49.49"/>
    <n v="570.5"/>
    <n v="0.94"/>
    <x v="0"/>
  </r>
  <r>
    <n v="3839"/>
    <n v="1173"/>
    <n v="459"/>
    <n v="2011"/>
    <n v="195"/>
    <n v="1.63"/>
    <n v="1.4790000000000001"/>
    <n v="1.4870000000000001"/>
    <n v="0.1414"/>
    <n v="541"/>
    <d v="1899-12-30T07:08:00"/>
    <d v="2025-12-14T00:00:00"/>
    <n v="0.98"/>
    <n v="1.3320000000000001"/>
    <n v="1.63"/>
    <n v="14"/>
    <x v="11"/>
    <x v="46"/>
    <x v="11"/>
    <n v="570.5"/>
    <n v="517.65"/>
    <n v="520.45000000000005"/>
    <n v="49.49"/>
    <n v="570.5"/>
    <n v="0.94"/>
    <x v="0"/>
  </r>
  <r>
    <n v="3869"/>
    <n v="1175"/>
    <n v="459"/>
    <n v="2034"/>
    <n v="199"/>
    <n v="1.63"/>
    <n v="1.4790000000000001"/>
    <n v="1.4870000000000001"/>
    <n v="0.1414"/>
    <n v="545"/>
    <d v="1899-12-30T09:30:00"/>
    <d v="2025-12-15T00:00:00"/>
    <n v="0.98"/>
    <n v="1.173"/>
    <n v="1.63"/>
    <n v="15"/>
    <x v="11"/>
    <x v="46"/>
    <x v="11"/>
    <n v="570.5"/>
    <n v="517.65"/>
    <n v="520.45000000000005"/>
    <n v="49.49"/>
    <n v="570.5"/>
    <n v="0.94"/>
    <x v="0"/>
  </r>
  <r>
    <n v="3895"/>
    <n v="1185"/>
    <n v="464"/>
    <n v="2045"/>
    <n v="199"/>
    <n v="1.63"/>
    <n v="1.4790000000000001"/>
    <n v="1.4870000000000001"/>
    <n v="1.1414"/>
    <n v="549"/>
    <d v="1899-12-30T07:26:00"/>
    <d v="2025-12-16T00:00:00"/>
    <n v="0.98"/>
    <n v="1.1259999999999999"/>
    <n v="1.63"/>
    <n v="16"/>
    <x v="11"/>
    <x v="46"/>
    <x v="11"/>
    <n v="570.5"/>
    <n v="517.65"/>
    <n v="520.45000000000005"/>
    <n v="399.49"/>
    <n v="570.5"/>
    <n v="0.94"/>
    <x v="0"/>
  </r>
  <r>
    <n v="3922"/>
    <n v="1198"/>
    <n v="469"/>
    <n v="2055"/>
    <n v="199"/>
    <n v="1.63"/>
    <n v="1.4790000000000001"/>
    <n v="1.4870000000000001"/>
    <n v="1.1414"/>
    <n v="552"/>
    <d v="1899-12-30T06:41:00"/>
    <d v="2025-12-17T00:00:00"/>
    <n v="0.99"/>
    <n v="1.1120000000000001"/>
    <n v="1.63"/>
    <n v="17"/>
    <x v="11"/>
    <x v="46"/>
    <x v="11"/>
    <n v="570.5"/>
    <n v="517.65"/>
    <n v="520.45000000000005"/>
    <n v="399.49"/>
    <n v="570.5"/>
    <n v="0.94"/>
    <x v="0"/>
  </r>
  <r>
    <n v="3951"/>
    <n v="1210"/>
    <n v="474"/>
    <n v="2067"/>
    <n v="199"/>
    <n v="1.63"/>
    <n v="1.4790000000000001"/>
    <n v="1.4870000000000001"/>
    <n v="1.1414"/>
    <n v="556"/>
    <d v="1899-12-30T06:40:00"/>
    <d v="2025-12-18T00:00:00"/>
    <n v="0.98"/>
    <n v="1.083"/>
    <n v="1.63"/>
    <n v="18"/>
    <x v="11"/>
    <x v="46"/>
    <x v="11"/>
    <n v="570.5"/>
    <n v="517.65"/>
    <n v="520.45000000000005"/>
    <n v="399.49"/>
    <n v="570.5"/>
    <n v="0.94"/>
    <x v="0"/>
  </r>
  <r>
    <n v="3981"/>
    <n v="1223"/>
    <n v="478"/>
    <n v="2078"/>
    <n v="199"/>
    <n v="1.63"/>
    <n v="1.4790000000000001"/>
    <n v="1.4870000000000001"/>
    <n v="1.4139999999999999"/>
    <n v="560"/>
    <d v="1899-12-30T06:29:00"/>
    <d v="2025-12-19T00:00:00"/>
    <n v="0.98"/>
    <n v="1.1100000000000001"/>
    <n v="1.63"/>
    <n v="19"/>
    <x v="11"/>
    <x v="46"/>
    <x v="11"/>
    <n v="570.5"/>
    <n v="517.65"/>
    <n v="520.45000000000005"/>
    <n v="494.9"/>
    <n v="570.5"/>
    <n v="0.94"/>
    <x v="0"/>
  </r>
  <r>
    <n v="4010"/>
    <n v="1236"/>
    <n v="484"/>
    <n v="2090"/>
    <n v="199"/>
    <n v="1.63"/>
    <n v="1.4790000000000001"/>
    <n v="1.4870000000000001"/>
    <n v="1.4139999999999999"/>
    <n v="565"/>
    <d v="1899-12-30T07:04:00"/>
    <d v="2025-12-20T00:00:00"/>
    <n v="0.98"/>
    <n v="1.0209999999999999"/>
    <n v="1.63"/>
    <n v="20"/>
    <x v="11"/>
    <x v="46"/>
    <x v="11"/>
    <n v="570.5"/>
    <n v="517.65"/>
    <n v="520.45000000000005"/>
    <n v="494.9"/>
    <n v="570.5"/>
    <n v="0.94"/>
    <x v="0"/>
  </r>
  <r>
    <n v="4041"/>
    <n v="1236"/>
    <n v="484"/>
    <n v="2116"/>
    <n v="204"/>
    <n v="1.63"/>
    <n v="1.4790000000000001"/>
    <n v="1.5609999999999999"/>
    <n v="1.421"/>
    <n v="569"/>
    <d v="1899-12-30T07:07:00"/>
    <d v="2025-12-21T00:00:00"/>
    <n v="0.98"/>
    <n v="1.165"/>
    <n v="1.63"/>
    <n v="21"/>
    <x v="11"/>
    <x v="47"/>
    <x v="11"/>
    <n v="570.5"/>
    <n v="517.65"/>
    <n v="546.35"/>
    <n v="497.35"/>
    <n v="570.5"/>
    <n v="0.94"/>
    <x v="0"/>
  </r>
  <r>
    <n v="4071"/>
    <n v="1236"/>
    <n v="484"/>
    <n v="2140"/>
    <n v="209"/>
    <n v="1.63"/>
    <n v="1.4790000000000001"/>
    <n v="1.5609999999999999"/>
    <n v="1.421"/>
    <n v="572"/>
    <d v="1899-12-30T07:08:00"/>
    <d v="2025-12-22T00:00:00"/>
    <n v="0.98"/>
    <n v="1.157"/>
    <n v="1.63"/>
    <n v="22"/>
    <x v="11"/>
    <x v="47"/>
    <x v="11"/>
    <n v="570.5"/>
    <n v="517.65"/>
    <n v="546.35"/>
    <n v="497.35"/>
    <n v="570.5"/>
    <n v="0.94"/>
    <x v="0"/>
  </r>
  <r>
    <n v="4101"/>
    <n v="1249"/>
    <n v="489"/>
    <n v="2152"/>
    <n v="209"/>
    <n v="1.63"/>
    <n v="1.4790000000000001"/>
    <n v="1.5609999999999999"/>
    <n v="1.421"/>
    <n v="575"/>
    <d v="1899-12-30T07:36:00"/>
    <d v="2025-12-23T00:00:00"/>
    <n v="0.98"/>
    <n v="1.07"/>
    <n v="1.63"/>
    <n v="23"/>
    <x v="11"/>
    <x v="47"/>
    <x v="11"/>
    <n v="570.5"/>
    <n v="517.65"/>
    <n v="546.35"/>
    <n v="497.35"/>
    <n v="570.5"/>
    <n v="0.94"/>
    <x v="0"/>
  </r>
  <r>
    <n v="4130"/>
    <n v="1262"/>
    <n v="494"/>
    <n v="2163"/>
    <n v="209"/>
    <n v="1.63"/>
    <n v="1.4790000000000001"/>
    <n v="1.5609999999999999"/>
    <n v="1.421"/>
    <n v="578"/>
    <d v="1899-12-30T06:44:00"/>
    <d v="2025-12-24T00:00:00"/>
    <n v="0.99"/>
    <n v="1.024"/>
    <n v="1.63"/>
    <n v="24"/>
    <x v="11"/>
    <x v="47"/>
    <x v="11"/>
    <n v="570.5"/>
    <n v="517.65"/>
    <n v="546.35"/>
    <n v="497.35"/>
    <n v="570.5"/>
    <n v="0.94"/>
    <x v="0"/>
  </r>
  <r>
    <n v="4160"/>
    <n v="1275"/>
    <n v="499"/>
    <n v="2175"/>
    <n v="209"/>
    <n v="1.63"/>
    <n v="1.4790000000000001"/>
    <n v="1.5609999999999999"/>
    <n v="1.421"/>
    <n v="582"/>
    <d v="1899-12-30T06:50:00"/>
    <d v="2025-12-25T00:00:00"/>
    <n v="0.98"/>
    <n v="1.2629999999999999"/>
    <n v="1.63"/>
    <n v="25"/>
    <x v="11"/>
    <x v="47"/>
    <x v="11"/>
    <n v="570.5"/>
    <n v="517.65"/>
    <n v="546.35"/>
    <n v="497.35"/>
    <n v="570.5"/>
    <n v="0.94"/>
    <x v="0"/>
  </r>
  <r>
    <n v="4190"/>
    <n v="1275"/>
    <n v="504"/>
    <n v="2200"/>
    <n v="215"/>
    <n v="1.63"/>
    <n v="1.4790000000000001"/>
    <n v="1.5609999999999999"/>
    <n v="1.421"/>
    <n v="586"/>
    <d v="1899-12-30T07:04:00"/>
    <d v="2025-12-26T00:00:00"/>
    <n v="0.99"/>
    <n v="1.1599999999999999"/>
    <n v="1.63"/>
    <n v="26"/>
    <x v="11"/>
    <x v="47"/>
    <x v="11"/>
    <n v="570.5"/>
    <n v="517.65"/>
    <n v="546.35"/>
    <n v="497.35"/>
    <n v="570.5"/>
    <n v="0.94"/>
    <x v="0"/>
  </r>
  <r>
    <n v="4221"/>
    <n v="1288"/>
    <n v="504"/>
    <n v="2213"/>
    <n v="215"/>
    <n v="1.63"/>
    <n v="1.4790000000000001"/>
    <n v="1.5609999999999999"/>
    <n v="1.421"/>
    <n v="590"/>
    <d v="1899-12-30T07:14:00"/>
    <d v="2025-12-27T00:00:00"/>
    <n v="0.98"/>
    <n v="1.071"/>
    <n v="1.63"/>
    <n v="27"/>
    <x v="11"/>
    <x v="47"/>
    <x v="11"/>
    <n v="570.5"/>
    <n v="517.65"/>
    <n v="546.35"/>
    <n v="497.35"/>
    <n v="570.5"/>
    <n v="0.94"/>
    <x v="0"/>
  </r>
  <r>
    <n v="4253"/>
    <n v="1288"/>
    <n v="504"/>
    <n v="2239"/>
    <n v="220"/>
    <n v="1.63"/>
    <n v="1.4790000000000001"/>
    <n v="1.5609999999999999"/>
    <n v="1.4790000000000001"/>
    <n v="594"/>
    <d v="1899-12-30T08:43:00"/>
    <d v="2025-12-28T00:00:00"/>
    <n v="0.99"/>
    <n v="1.075"/>
    <n v="1.63"/>
    <n v="28"/>
    <x v="11"/>
    <x v="48"/>
    <x v="11"/>
    <n v="570.5"/>
    <n v="517.65"/>
    <n v="546.35"/>
    <n v="517.65"/>
    <n v="570.5"/>
    <n v="0.94"/>
    <x v="0"/>
  </r>
  <r>
    <n v="4282"/>
    <n v="1288"/>
    <n v="504"/>
    <n v="2263"/>
    <n v="225"/>
    <n v="1.63"/>
    <n v="1.4790000000000001"/>
    <n v="1.5609999999999999"/>
    <n v="1.4790000000000001"/>
    <n v="597"/>
    <d v="1899-12-30T08:00:00"/>
    <d v="2025-12-29T00:00:00"/>
    <n v="0.99"/>
    <n v="1.145"/>
    <n v="1.63"/>
    <n v="29"/>
    <x v="11"/>
    <x v="48"/>
    <x v="11"/>
    <n v="570.5"/>
    <n v="517.65"/>
    <n v="546.35"/>
    <n v="517.65"/>
    <n v="570.5"/>
    <n v="0.94"/>
    <x v="0"/>
  </r>
  <r>
    <n v="4369"/>
    <n v="1327"/>
    <n v="520"/>
    <n v="2297"/>
    <n v="225"/>
    <n v="0"/>
    <n v="0"/>
    <n v="1.351"/>
    <n v="0"/>
    <n v="600"/>
    <d v="1899-12-30T00:00:00"/>
    <d v="2026-01-01T00:00:00"/>
    <n v="0.99"/>
    <n v="1.1359999999999999"/>
    <n v="1.351"/>
    <n v="1"/>
    <x v="0"/>
    <x v="0"/>
    <x v="0"/>
    <n v="0"/>
    <n v="0"/>
    <n v="472.84999999999997"/>
    <n v="0"/>
    <n v="472.84999999999997"/>
    <n v="0.94"/>
    <x v="1"/>
  </r>
  <r>
    <n v="4399"/>
    <n v="1327"/>
    <n v="520"/>
    <n v="2322"/>
    <n v="230"/>
    <n v="0"/>
    <n v="0"/>
    <n v="1.4530000000000001"/>
    <n v="1.3280000000000001"/>
    <n v="612"/>
    <d v="1899-12-30T06:00:00"/>
    <d v="2026-01-02T00:00:00"/>
    <n v="0.99"/>
    <n v="1.367"/>
    <n v="1.4530000000000001"/>
    <n v="2"/>
    <x v="0"/>
    <x v="0"/>
    <x v="0"/>
    <n v="0"/>
    <n v="0"/>
    <n v="508.55"/>
    <n v="464.8"/>
    <n v="508.55"/>
    <n v="0.94"/>
    <x v="1"/>
  </r>
  <r>
    <n v="4429"/>
    <n v="1340"/>
    <n v="525"/>
    <n v="2333"/>
    <n v="230"/>
    <n v="1.49"/>
    <n v="1.4350000000000001"/>
    <n v="1.4530000000000001"/>
    <n v="1.3280000000000001"/>
    <n v="616"/>
    <d v="1899-12-30T06:00:00"/>
    <d v="2026-01-03T00:00:00"/>
    <n v="0.99"/>
    <n v="1.296"/>
    <n v="1.49"/>
    <n v="3"/>
    <x v="0"/>
    <x v="0"/>
    <x v="0"/>
    <n v="521.5"/>
    <n v="502.25"/>
    <n v="508.55"/>
    <n v="464.8"/>
    <n v="521.5"/>
    <n v="0.94"/>
    <x v="1"/>
  </r>
  <r>
    <n v="4459"/>
    <n v="1340"/>
    <n v="525"/>
    <n v="2358"/>
    <n v="235"/>
    <n v="1.49"/>
    <n v="1.4350000000000001"/>
    <n v="1.466"/>
    <n v="1.3779999999999999"/>
    <n v="620"/>
    <d v="1899-12-30T05:59:00"/>
    <d v="2026-01-04T00:00:00"/>
    <n v="0.99"/>
    <n v="1.2769999999999999"/>
    <n v="1.49"/>
    <n v="4"/>
    <x v="0"/>
    <x v="1"/>
    <x v="0"/>
    <n v="521.5"/>
    <n v="502.25"/>
    <n v="513.1"/>
    <n v="482.29999999999995"/>
    <n v="521.5"/>
    <n v="0.94"/>
    <x v="1"/>
  </r>
  <r>
    <n v="4488"/>
    <n v="1340"/>
    <n v="525"/>
    <n v="2382"/>
    <n v="240"/>
    <n v="1.49"/>
    <n v="1.4350000000000001"/>
    <n v="1.466"/>
    <n v="1.3779999999999999"/>
    <n v="624"/>
    <d v="1899-12-30T06:00:00"/>
    <d v="2026-01-05T00:00:00"/>
    <n v="0.99"/>
    <n v="9.7299999999999998E-2"/>
    <n v="1.49"/>
    <n v="5"/>
    <x v="0"/>
    <x v="1"/>
    <x v="0"/>
    <n v="521.5"/>
    <n v="502.25"/>
    <n v="513.1"/>
    <n v="482.29999999999995"/>
    <n v="521.5"/>
    <n v="0.94"/>
    <x v="1"/>
  </r>
  <r>
    <n v="4518"/>
    <n v="1353"/>
    <n v="530"/>
    <n v="2394"/>
    <n v="240"/>
    <n v="1.49"/>
    <n v="1.4350000000000001"/>
    <n v="1.466"/>
    <n v="1.3779999999999999"/>
    <n v="628"/>
    <d v="1899-12-30T06:01:00"/>
    <d v="2026-01-06T00:00:00"/>
    <n v="0.99"/>
    <n v="1.236"/>
    <n v="1.49"/>
    <n v="6"/>
    <x v="0"/>
    <x v="1"/>
    <x v="0"/>
    <n v="521.5"/>
    <n v="502.25"/>
    <n v="513.1"/>
    <n v="482.29999999999995"/>
    <n v="521.5"/>
    <n v="0.94"/>
    <x v="1"/>
  </r>
  <r>
    <n v="4548"/>
    <n v="1366"/>
    <n v="535"/>
    <n v="2406"/>
    <n v="240"/>
    <n v="1.49"/>
    <n v="1.4350000000000001"/>
    <n v="1.466"/>
    <n v="1.3779999999999999"/>
    <n v="631"/>
    <d v="1899-12-30T06:00:00"/>
    <d v="2026-01-07T00:00:00"/>
    <n v="0.98"/>
    <n v="1.2150000000000001"/>
    <n v="1.49"/>
    <n v="7"/>
    <x v="0"/>
    <x v="1"/>
    <x v="0"/>
    <n v="521.5"/>
    <n v="502.25"/>
    <n v="513.1"/>
    <n v="482.29999999999995"/>
    <n v="521.5"/>
    <n v="0.94"/>
    <x v="1"/>
  </r>
  <r>
    <n v="4579"/>
    <n v="1379"/>
    <n v="540"/>
    <n v="2418"/>
    <n v="240"/>
    <n v="1.5069999999999999"/>
    <n v="1.4350000000000001"/>
    <n v="1.466"/>
    <n v="1.3779999999999999"/>
    <n v="634"/>
    <d v="1899-12-30T06:03:00"/>
    <d v="2026-01-08T00:00:00"/>
    <n v="0.99"/>
    <n v="1.155"/>
    <n v="1.5069999999999999"/>
    <n v="8"/>
    <x v="0"/>
    <x v="1"/>
    <x v="0"/>
    <n v="527.44999999999993"/>
    <n v="502.25"/>
    <n v="513.1"/>
    <n v="482.29999999999995"/>
    <n v="527.44999999999993"/>
    <n v="0.94"/>
    <x v="1"/>
  </r>
  <r>
    <n v="4609"/>
    <n v="1392"/>
    <n v="545"/>
    <n v="2430"/>
    <n v="240"/>
    <n v="1.51"/>
    <n v="1.4350000000000001"/>
    <n v="1.466"/>
    <n v="1.3779999999999999"/>
    <n v="634"/>
    <d v="1899-12-30T06:05:00"/>
    <d v="2026-01-09T00:00:00"/>
    <n v="0.99"/>
    <n v="0.11700000000000001"/>
    <n v="1.51"/>
    <n v="9"/>
    <x v="0"/>
    <x v="1"/>
    <x v="0"/>
    <n v="528.5"/>
    <n v="502.25"/>
    <n v="513.1"/>
    <n v="482.29999999999995"/>
    <n v="528.5"/>
    <n v="0.94"/>
    <x v="1"/>
  </r>
  <r>
    <n v="4638"/>
    <n v="1405"/>
    <n v="550"/>
    <n v="2442"/>
    <n v="240"/>
    <n v="1.579"/>
    <n v="1.5149999999999999"/>
    <n v="1.466"/>
    <n v="1.3779999999999999"/>
    <n v="641"/>
    <d v="1899-12-30T06:00:00"/>
    <d v="2026-01-10T00:00:00"/>
    <n v="0.98"/>
    <n v="0.108"/>
    <n v="1.579"/>
    <n v="10"/>
    <x v="0"/>
    <x v="1"/>
    <x v="0"/>
    <n v="552.65"/>
    <n v="530.25"/>
    <n v="513.1"/>
    <n v="482.29999999999995"/>
    <n v="552.65"/>
    <n v="0.94"/>
    <x v="1"/>
  </r>
  <r>
    <n v="4668"/>
    <n v="1405"/>
    <n v="550"/>
    <n v="2467"/>
    <n v="245"/>
    <n v="1.579"/>
    <n v="1.5149999999999999"/>
    <n v="1.5029999999999999"/>
    <n v="1.3779999999999999"/>
    <n v="645"/>
    <d v="1899-12-30T06:02:00"/>
    <d v="2026-01-11T00:00:00"/>
    <n v="0.99"/>
    <n v="0.11799999999999999"/>
    <n v="1.579"/>
    <n v="11"/>
    <x v="0"/>
    <x v="2"/>
    <x v="0"/>
    <n v="552.65"/>
    <n v="530.25"/>
    <n v="526.04999999999995"/>
    <n v="482.29999999999995"/>
    <n v="552.65"/>
    <n v="0.94"/>
    <x v="1"/>
  </r>
  <r>
    <n v="4697"/>
    <n v="1405"/>
    <n v="550"/>
    <n v="2490"/>
    <n v="250"/>
    <n v="1.579"/>
    <n v="1.5149999999999999"/>
    <n v="1.5029999999999999"/>
    <n v="1.399"/>
    <n v="648"/>
    <d v="1899-12-30T05:59:00"/>
    <d v="2026-01-12T00:00:00"/>
    <n v="0.99"/>
    <n v="0.122"/>
    <n v="1.579"/>
    <n v="12"/>
    <x v="0"/>
    <x v="2"/>
    <x v="0"/>
    <n v="552.65"/>
    <n v="530.25"/>
    <n v="526.04999999999995"/>
    <n v="489.65000000000003"/>
    <n v="552.65"/>
    <n v="0.94"/>
    <x v="1"/>
  </r>
  <r>
    <n v="4726"/>
    <n v="1417"/>
    <n v="555"/>
    <n v="2502"/>
    <n v="250"/>
    <n v="1.579"/>
    <n v="1.5149999999999999"/>
    <n v="1.5029999999999999"/>
    <n v="1.399"/>
    <n v="651"/>
    <d v="1899-12-30T06:34:00"/>
    <d v="2026-01-13T00:00:00"/>
    <n v="0.99"/>
    <n v="0.1154"/>
    <n v="1.579"/>
    <n v="13"/>
    <x v="0"/>
    <x v="2"/>
    <x v="0"/>
    <n v="552.65"/>
    <n v="530.25"/>
    <n v="526.04999999999995"/>
    <n v="489.65000000000003"/>
    <n v="552.65"/>
    <n v="0.94"/>
    <x v="1"/>
  </r>
  <r>
    <n v="4754"/>
    <n v="1429"/>
    <n v="560"/>
    <n v="2514"/>
    <n v="250"/>
    <n v="1.579"/>
    <n v="1.5149999999999999"/>
    <n v="1.5029999999999999"/>
    <n v="1.399"/>
    <n v="655"/>
    <d v="1899-12-30T06:01:00"/>
    <d v="2026-01-14T00:00:00"/>
    <n v="0.99"/>
    <n v="0.1149"/>
    <n v="1.579"/>
    <n v="14"/>
    <x v="0"/>
    <x v="2"/>
    <x v="0"/>
    <n v="552.65"/>
    <n v="530.25"/>
    <n v="526.04999999999995"/>
    <n v="489.65000000000003"/>
    <n v="552.65"/>
    <n v="0.94"/>
    <x v="1"/>
  </r>
  <r>
    <n v="4784"/>
    <n v="1442"/>
    <n v="560"/>
    <n v="2525"/>
    <n v="250"/>
    <n v="1.579"/>
    <n v="1.5149999999999999"/>
    <n v="1.5029999999999999"/>
    <n v="1.399"/>
    <n v="659"/>
    <d v="1899-12-30T06:01:00"/>
    <d v="2026-01-15T00:00:00"/>
    <n v="0.99"/>
    <n v="0.12470000000000001"/>
    <n v="1.579"/>
    <n v="15"/>
    <x v="0"/>
    <x v="2"/>
    <x v="0"/>
    <n v="552.65"/>
    <n v="530.25"/>
    <n v="526.04999999999995"/>
    <n v="489.65000000000003"/>
    <n v="552.65"/>
    <n v="0.94"/>
    <x v="1"/>
  </r>
  <r>
    <n v="4814"/>
    <n v="1455"/>
    <n v="570"/>
    <n v="2538"/>
    <n v="250"/>
    <n v="1.579"/>
    <n v="1.5149999999999999"/>
    <n v="1.5029999999999999"/>
    <n v="1.399"/>
    <n v="602"/>
    <d v="1899-12-30T06:09:00"/>
    <d v="2026-01-16T00:00:00"/>
    <n v="0.99"/>
    <n v="0.12"/>
    <n v="1.579"/>
    <n v="16"/>
    <x v="0"/>
    <x v="2"/>
    <x v="0"/>
    <n v="552.65"/>
    <n v="530.25"/>
    <n v="526.04999999999995"/>
    <n v="489.65000000000003"/>
    <n v="552.65"/>
    <n v="0.94"/>
    <x v="1"/>
  </r>
  <r>
    <n v="4843"/>
    <n v="1467"/>
    <n v="576"/>
    <n v="2550"/>
    <n v="250"/>
    <n v="1.579"/>
    <n v="1.5980000000000001"/>
    <n v="1.5029999999999999"/>
    <n v="1.399"/>
    <n v="666"/>
    <d v="1899-12-30T06:00:00"/>
    <d v="2026-01-17T00:00:00"/>
    <n v="0.99"/>
    <n v="0.1085"/>
    <n v="1.5980000000000001"/>
    <n v="17"/>
    <x v="0"/>
    <x v="2"/>
    <x v="0"/>
    <n v="552.65"/>
    <n v="559.30000000000007"/>
    <n v="526.04999999999995"/>
    <n v="489.65000000000003"/>
    <n v="559.30000000000007"/>
    <n v="0.94"/>
    <x v="1"/>
  </r>
  <r>
    <n v="4874"/>
    <n v="1467"/>
    <n v="576"/>
    <n v="2575"/>
    <n v="255"/>
    <n v="1.579"/>
    <n v="1.5980000000000001"/>
    <n v="1.5029999999999999"/>
    <n v="1.464"/>
    <n v="671"/>
    <d v="1899-12-30T05:59:00"/>
    <d v="2026-01-18T00:00:00"/>
    <n v="1"/>
    <n v="0.1132"/>
    <n v="1.5980000000000001"/>
    <n v="18"/>
    <x v="0"/>
    <x v="3"/>
    <x v="0"/>
    <n v="552.65"/>
    <n v="559.30000000000007"/>
    <n v="526.04999999999995"/>
    <n v="512.4"/>
    <n v="559.30000000000007"/>
    <n v="0.94"/>
    <x v="1"/>
  </r>
  <r>
    <n v="4904"/>
    <n v="1467"/>
    <n v="576"/>
    <n v="2600"/>
    <n v="260"/>
    <n v="1.579"/>
    <n v="1.5980000000000001"/>
    <n v="1.5029999999999999"/>
    <n v="1.4710000000000001"/>
    <n v="674"/>
    <d v="1899-12-30T05:57:00"/>
    <d v="2026-01-19T00:00:00"/>
    <n v="0.98"/>
    <n v="0.1384"/>
    <n v="1.5980000000000001"/>
    <n v="19"/>
    <x v="0"/>
    <x v="3"/>
    <x v="0"/>
    <n v="552.65"/>
    <n v="559.30000000000007"/>
    <n v="526.04999999999995"/>
    <n v="514.85"/>
    <n v="559.30000000000007"/>
    <n v="0.94"/>
    <x v="1"/>
  </r>
  <r>
    <n v="4934"/>
    <n v="1479"/>
    <n v="581"/>
    <n v="2612"/>
    <n v="260"/>
    <n v="1.579"/>
    <n v="1.5980000000000001"/>
    <n v="1.5029999999999999"/>
    <n v="1.4710000000000001"/>
    <n v="678"/>
    <d v="1899-12-30T06:04:00"/>
    <d v="2026-01-20T00:00:00"/>
    <n v="0.98"/>
    <n v="0.13059999999999999"/>
    <n v="1.5980000000000001"/>
    <n v="20"/>
    <x v="0"/>
    <x v="3"/>
    <x v="0"/>
    <n v="552.65"/>
    <n v="559.30000000000007"/>
    <n v="526.04999999999995"/>
    <n v="514.85"/>
    <n v="559.30000000000007"/>
    <n v="0.94"/>
    <x v="1"/>
  </r>
  <r>
    <n v="4965"/>
    <n v="1493"/>
    <n v="586"/>
    <n v="2624"/>
    <n v="260"/>
    <n v="1.579"/>
    <n v="1.5980000000000001"/>
    <n v="1.5029999999999999"/>
    <n v="1.4710000000000001"/>
    <n v="682"/>
    <d v="1899-12-30T06:21:00"/>
    <d v="2026-01-21T00:00:00"/>
    <n v="0.99"/>
    <n v="0.1239"/>
    <n v="1.5980000000000001"/>
    <n v="21"/>
    <x v="0"/>
    <x v="3"/>
    <x v="0"/>
    <n v="552.65"/>
    <n v="559.30000000000007"/>
    <n v="526.04999999999995"/>
    <n v="514.85"/>
    <n v="559.30000000000007"/>
    <n v="0.94"/>
    <x v="1"/>
  </r>
  <r>
    <n v="4995"/>
    <n v="1506"/>
    <n v="591"/>
    <n v="2636"/>
    <n v="260"/>
    <n v="1.579"/>
    <n v="1.5980000000000001"/>
    <n v="1.5029999999999999"/>
    <n v="1.4710000000000001"/>
    <n v="685"/>
    <d v="1899-12-30T06:13:00"/>
    <d v="2026-01-22T00:00:00"/>
    <n v="0.99"/>
    <n v="0.12540000000000001"/>
    <n v="1.5980000000000001"/>
    <n v="22"/>
    <x v="0"/>
    <x v="3"/>
    <x v="0"/>
    <n v="552.65"/>
    <n v="559.30000000000007"/>
    <n v="526.04999999999995"/>
    <n v="514.85"/>
    <n v="559.30000000000007"/>
    <n v="0.94"/>
    <x v="1"/>
  </r>
  <r>
    <n v="5025"/>
    <n v="1519"/>
    <n v="596"/>
    <n v="2640"/>
    <n v="260"/>
    <n v="1.579"/>
    <n v="1.5980000000000001"/>
    <n v="1.5029999999999999"/>
    <n v="1.4710000000000001"/>
    <n v="688"/>
    <d v="1899-12-30T06:15:00"/>
    <d v="2026-01-23T00:00:00"/>
    <n v="0.99"/>
    <n v="0.11940000000000001"/>
    <n v="1.5980000000000001"/>
    <n v="23"/>
    <x v="0"/>
    <x v="3"/>
    <x v="0"/>
    <n v="552.65"/>
    <n v="559.30000000000007"/>
    <n v="526.04999999999995"/>
    <n v="514.85"/>
    <n v="559.30000000000007"/>
    <n v="0.94"/>
    <x v="1"/>
  </r>
  <r>
    <n v="5055"/>
    <n v="1531"/>
    <n v="601"/>
    <n v="2640"/>
    <n v="260"/>
    <n v="1.579"/>
    <n v="1.5980000000000001"/>
    <n v="1.5029999999999999"/>
    <n v="1.4710000000000001"/>
    <n v="692"/>
    <d v="1899-12-30T06:01:00"/>
    <d v="2026-01-24T00:00:00"/>
    <n v="0.99"/>
    <n v="0.12540000000000001"/>
    <n v="1.5980000000000001"/>
    <n v="24"/>
    <x v="0"/>
    <x v="3"/>
    <x v="0"/>
    <n v="552.65"/>
    <n v="559.30000000000007"/>
    <n v="526.04999999999995"/>
    <n v="514.85"/>
    <n v="559.30000000000007"/>
    <n v="0.94"/>
    <x v="1"/>
  </r>
  <r>
    <n v="5084"/>
    <n v="1531"/>
    <n v="601"/>
    <n v="2685"/>
    <n v="265"/>
    <n v="1.579"/>
    <n v="1.5980000000000001"/>
    <n v="1.5469999999999999"/>
    <n v="1.4710000000000001"/>
    <n v="695"/>
    <d v="1899-12-30T06:00:00"/>
    <d v="2026-01-25T00:00:00"/>
    <n v="0.99"/>
    <n v="0.1087"/>
    <n v="1.5980000000000001"/>
    <n v="25"/>
    <x v="0"/>
    <x v="4"/>
    <x v="0"/>
    <n v="552.65"/>
    <n v="559.30000000000007"/>
    <n v="541.44999999999993"/>
    <n v="514.85"/>
    <n v="559.30000000000007"/>
    <n v="0.94"/>
    <x v="1"/>
  </r>
  <r>
    <n v="5114"/>
    <n v="1531"/>
    <n v="601"/>
    <n v="2709"/>
    <n v="270"/>
    <n v="1.579"/>
    <n v="1.5980000000000001"/>
    <n v="1.5469999999999999"/>
    <n v="1.4710000000000001"/>
    <n v="699"/>
    <d v="1899-12-30T05:59:00"/>
    <d v="2026-01-26T00:00:00"/>
    <n v="0.99"/>
    <n v="1.2410000000000001"/>
    <n v="1.5980000000000001"/>
    <n v="26"/>
    <x v="0"/>
    <x v="4"/>
    <x v="0"/>
    <n v="552.65"/>
    <n v="559.30000000000007"/>
    <n v="541.44999999999993"/>
    <n v="514.85"/>
    <n v="559.30000000000007"/>
    <n v="0.94"/>
    <x v="1"/>
  </r>
  <r>
    <n v="5144"/>
    <n v="1544"/>
    <n v="606"/>
    <n v="2722"/>
    <n v="270"/>
    <n v="1.579"/>
    <n v="1.5980000000000001"/>
    <n v="1.5469999999999999"/>
    <n v="1.4710000000000001"/>
    <n v="702"/>
    <d v="1899-12-30T06:16:00"/>
    <d v="2026-01-27T00:00:00"/>
    <n v="0.99"/>
    <n v="1.375"/>
    <n v="1.5980000000000001"/>
    <n v="27"/>
    <x v="0"/>
    <x v="4"/>
    <x v="0"/>
    <n v="552.65"/>
    <n v="559.30000000000007"/>
    <n v="541.44999999999993"/>
    <n v="514.85"/>
    <n v="559.30000000000007"/>
    <n v="0.94"/>
    <x v="1"/>
  </r>
  <r>
    <n v="5174"/>
    <n v="1557"/>
    <n v="611"/>
    <n v="2733"/>
    <n v="270"/>
    <n v="1.579"/>
    <n v="1.5980000000000001"/>
    <n v="1.5469999999999999"/>
    <n v="1.4710000000000001"/>
    <n v="706"/>
    <d v="1899-12-30T05:55:00"/>
    <d v="2026-01-28T00:00:00"/>
    <n v="0.99"/>
    <n v="1.165"/>
    <n v="1.5980000000000001"/>
    <n v="28"/>
    <x v="0"/>
    <x v="4"/>
    <x v="0"/>
    <n v="552.65"/>
    <n v="559.30000000000007"/>
    <n v="541.44999999999993"/>
    <n v="514.85"/>
    <n v="559.30000000000007"/>
    <n v="0.94"/>
    <x v="1"/>
  </r>
  <r>
    <n v="5204"/>
    <n v="1570"/>
    <n v="617"/>
    <n v="2746"/>
    <n v="270"/>
    <n v="1.579"/>
    <n v="1.5980000000000001"/>
    <n v="1.5469999999999999"/>
    <n v="1.4710000000000001"/>
    <n v="710"/>
    <d v="1899-12-30T06:05:00"/>
    <d v="2026-01-29T00:00:00"/>
    <n v="0.99"/>
    <n v="1.206"/>
    <n v="1.5980000000000001"/>
    <n v="29"/>
    <x v="0"/>
    <x v="4"/>
    <x v="0"/>
    <n v="552.65"/>
    <n v="559.30000000000007"/>
    <n v="541.44999999999993"/>
    <n v="514.85"/>
    <n v="559.30000000000007"/>
    <n v="0.94"/>
    <x v="1"/>
  </r>
  <r>
    <n v="5235"/>
    <n v="1583"/>
    <n v="622"/>
    <n v="2758"/>
    <n v="270"/>
    <n v="1.579"/>
    <n v="1.5980000000000001"/>
    <n v="1.5469999999999999"/>
    <n v="1.4710000000000001"/>
    <n v="714"/>
    <d v="1899-12-30T06:04:35"/>
    <d v="2026-01-30T00:00:00"/>
    <n v="0.98"/>
    <n v="1.244"/>
    <n v="1.5980000000000001"/>
    <n v="30"/>
    <x v="0"/>
    <x v="4"/>
    <x v="0"/>
    <n v="552.65"/>
    <n v="559.30000000000007"/>
    <n v="541.44999999999993"/>
    <n v="514.85"/>
    <n v="559.30000000000007"/>
    <n v="0.94"/>
    <x v="1"/>
  </r>
  <r>
    <n v="5265"/>
    <n v="1579"/>
    <n v="627"/>
    <n v="2770"/>
    <n v="270"/>
    <n v="1.579"/>
    <n v="1.5980000000000001"/>
    <n v="1.5469999999999999"/>
    <n v="1.4710000000000001"/>
    <n v="717"/>
    <d v="1899-12-30T06:00:44"/>
    <d v="2026-01-31T00:00:00"/>
    <n v="0.98"/>
    <n v="1.6"/>
    <n v="1.5980000000000001"/>
    <n v="31"/>
    <x v="0"/>
    <x v="4"/>
    <x v="0"/>
    <n v="552.65"/>
    <n v="559.30000000000007"/>
    <n v="541.44999999999993"/>
    <n v="514.85"/>
    <n v="559.30000000000007"/>
    <n v="0.94"/>
    <x v="1"/>
  </r>
  <r>
    <n v="5295"/>
    <n v="1596"/>
    <n v="627"/>
    <n v="2795"/>
    <n v="275"/>
    <n v="0"/>
    <n v="0"/>
    <n v="1.2609999999999999"/>
    <n v="0"/>
    <n v="721"/>
    <d v="1899-12-30T06:11:10"/>
    <d v="2026-02-01T00:00:00"/>
    <n v="0.99"/>
    <n v="1.1850000000000001"/>
    <n v="1.2609999999999999"/>
    <n v="1"/>
    <x v="1"/>
    <x v="5"/>
    <x v="1"/>
    <n v="0"/>
    <n v="0"/>
    <n v="441.34999999999997"/>
    <n v="0"/>
    <n v="441.34999999999997"/>
    <n v="0.94"/>
    <x v="1"/>
  </r>
  <r>
    <n v="5324"/>
    <n v="1596"/>
    <n v="627"/>
    <n v="2819"/>
    <n v="280"/>
    <n v="0"/>
    <n v="0"/>
    <n v="1.46"/>
    <n v="1.3360000000000001"/>
    <n v="725"/>
    <d v="1899-12-30T06:10:19"/>
    <d v="2026-02-02T00:00:00"/>
    <n v="0.99"/>
    <n v="1.1850000000000001"/>
    <n v="1.46"/>
    <n v="2"/>
    <x v="1"/>
    <x v="5"/>
    <x v="1"/>
    <n v="0"/>
    <n v="0"/>
    <n v="511"/>
    <n v="467.6"/>
    <n v="511"/>
    <n v="0.94"/>
    <x v="1"/>
  </r>
  <r>
    <n v="5354"/>
    <n v="1608"/>
    <n v="632"/>
    <n v="2831"/>
    <n v="280"/>
    <n v="1.431"/>
    <n v="1.47"/>
    <n v="1.468"/>
    <n v="1.3360000000000001"/>
    <n v="728"/>
    <d v="1899-12-30T05:57:00"/>
    <d v="2026-02-03T00:00:00"/>
    <n v="0.99"/>
    <n v="1.073"/>
    <n v="1.47"/>
    <n v="3"/>
    <x v="1"/>
    <x v="5"/>
    <x v="1"/>
    <n v="500.85"/>
    <n v="514.5"/>
    <n v="513.79999999999995"/>
    <n v="467.6"/>
    <n v="514.5"/>
    <n v="0.94"/>
    <x v="1"/>
  </r>
  <r>
    <n v="5384"/>
    <n v="1622"/>
    <n v="632"/>
    <n v="2843"/>
    <n v="280"/>
    <n v="1.5089999999999999"/>
    <n v="1.47"/>
    <n v="1.468"/>
    <n v="1.3360000000000001"/>
    <n v="732"/>
    <d v="1899-12-30T05:59:00"/>
    <d v="2026-02-04T00:00:00"/>
    <n v="0.98"/>
    <n v="1.214"/>
    <n v="1.5089999999999999"/>
    <n v="4"/>
    <x v="1"/>
    <x v="5"/>
    <x v="1"/>
    <n v="528.15"/>
    <n v="514.5"/>
    <n v="513.79999999999995"/>
    <n v="467.6"/>
    <n v="528.15"/>
    <n v="0.94"/>
    <x v="1"/>
  </r>
  <r>
    <n v="5415"/>
    <n v="1635"/>
    <n v="643"/>
    <n v="2855"/>
    <n v="280"/>
    <n v="1.516"/>
    <n v="1.47"/>
    <n v="1.468"/>
    <n v="1.3360000000000001"/>
    <n v="736"/>
    <d v="1899-12-30T05:58:00"/>
    <d v="2026-02-05T00:00:00"/>
    <n v="0.98"/>
    <n v="1.34"/>
    <n v="1.516"/>
    <n v="5"/>
    <x v="1"/>
    <x v="5"/>
    <x v="1"/>
    <n v="530.6"/>
    <n v="514.5"/>
    <n v="513.79999999999995"/>
    <n v="467.6"/>
    <n v="530.6"/>
    <n v="0.94"/>
    <x v="1"/>
  </r>
  <r>
    <n v="5445"/>
    <n v="1648"/>
    <n v="648"/>
    <n v="2867"/>
    <n v="280"/>
    <n v="1.516"/>
    <n v="1.47"/>
    <n v="1.468"/>
    <n v="1.3360000000000001"/>
    <n v="740"/>
    <d v="1899-12-30T05:58:00"/>
    <d v="2026-02-06T00:00:00"/>
    <n v="0.99"/>
    <n v="1.2310000000000001"/>
    <n v="1.516"/>
    <n v="6"/>
    <x v="1"/>
    <x v="5"/>
    <x v="1"/>
    <n v="530.6"/>
    <n v="514.5"/>
    <n v="513.79999999999995"/>
    <n v="467.6"/>
    <n v="530.6"/>
    <n v="0.94"/>
    <x v="1"/>
  </r>
  <r>
    <n v="5476"/>
    <n v="1662"/>
    <n v="653"/>
    <n v="2879"/>
    <n v="280"/>
    <n v="1.516"/>
    <n v="1.47"/>
    <n v="1.468"/>
    <n v="1.3360000000000001"/>
    <n v="745"/>
    <d v="1899-12-30T05:59:00"/>
    <d v="2026-02-07T00:00:00"/>
    <n v="0.98"/>
    <n v="1.3049999999999999"/>
    <n v="1.516"/>
    <n v="7"/>
    <x v="1"/>
    <x v="5"/>
    <x v="1"/>
    <n v="530.6"/>
    <n v="514.5"/>
    <n v="513.79999999999995"/>
    <n v="467.6"/>
    <n v="530.6"/>
    <n v="0.94"/>
    <x v="1"/>
  </r>
  <r>
    <n v="5506"/>
    <n v="1662"/>
    <n v="653"/>
    <n v="2904"/>
    <n v="285"/>
    <n v="1.516"/>
    <n v="1.47"/>
    <n v="1.468"/>
    <n v="1.4"/>
    <n v="749"/>
    <d v="1899-12-30T06:00:00"/>
    <d v="2026-02-08T00:00:00"/>
    <n v="0.98"/>
    <n v="1.3049999999999999"/>
    <n v="1.516"/>
    <n v="8"/>
    <x v="1"/>
    <x v="16"/>
    <x v="1"/>
    <n v="530.6"/>
    <n v="514.5"/>
    <n v="513.79999999999995"/>
    <n v="489.99999999999994"/>
    <n v="530.6"/>
    <n v="0.94"/>
    <x v="1"/>
  </r>
  <r>
    <n v="5534"/>
    <n v="1662"/>
    <n v="653"/>
    <n v="2929"/>
    <n v="290"/>
    <n v="1.516"/>
    <n v="1.47"/>
    <n v="1.468"/>
    <n v="1.4019999999999999"/>
    <n v="753"/>
    <d v="1899-12-30T06:00:00"/>
    <d v="2026-02-09T00:00:00"/>
    <n v="0.97"/>
    <n v="1.212"/>
    <n v="1.516"/>
    <n v="9"/>
    <x v="1"/>
    <x v="16"/>
    <x v="1"/>
    <n v="530.6"/>
    <n v="514.5"/>
    <n v="513.79999999999995"/>
    <n v="490.7"/>
    <n v="530.6"/>
    <n v="0.94"/>
    <x v="1"/>
  </r>
  <r>
    <n v="5567"/>
    <n v="1675"/>
    <n v="659"/>
    <n v="2941"/>
    <n v="290"/>
    <n v="1.516"/>
    <n v="1.47"/>
    <n v="1.468"/>
    <n v="1.4019999999999999"/>
    <n v="753"/>
    <d v="1899-12-30T06:04:00"/>
    <d v="2026-02-10T00:00:00"/>
    <n v="0.98"/>
    <n v="1.2749999999999999"/>
    <n v="1.516"/>
    <n v="10"/>
    <x v="1"/>
    <x v="16"/>
    <x v="1"/>
    <n v="530.6"/>
    <n v="514.5"/>
    <n v="513.79999999999995"/>
    <n v="490.7"/>
    <n v="530.6"/>
    <n v="0.94"/>
    <x v="1"/>
  </r>
  <r>
    <n v="5597"/>
    <n v="1688"/>
    <n v="664"/>
    <n v="2952"/>
    <n v="290"/>
    <n v="1.516"/>
    <n v="1.47"/>
    <n v="1.468"/>
    <n v="1.4019999999999999"/>
    <n v="761"/>
    <d v="1899-12-30T06:00:00"/>
    <d v="2026-02-11T00:00:00"/>
    <n v="0.99"/>
    <n v="1.077"/>
    <n v="1.516"/>
    <n v="11"/>
    <x v="1"/>
    <x v="16"/>
    <x v="1"/>
    <n v="530.6"/>
    <n v="514.5"/>
    <n v="513.79999999999995"/>
    <n v="490.7"/>
    <n v="530.6"/>
    <n v="0.94"/>
    <x v="1"/>
  </r>
  <r>
    <n v="5627"/>
    <n v="1701"/>
    <n v="669"/>
    <n v="2965"/>
    <n v="290"/>
    <n v="1.5329999999999999"/>
    <n v="1.47"/>
    <n v="1.468"/>
    <n v="1.4019999999999999"/>
    <n v="765"/>
    <d v="1899-12-30T06:00:00"/>
    <d v="2026-02-12T00:00:00"/>
    <n v="0.99"/>
    <n v="1.175"/>
    <n v="1.5329999999999999"/>
    <n v="12"/>
    <x v="1"/>
    <x v="16"/>
    <x v="1"/>
    <n v="536.54999999999995"/>
    <n v="514.5"/>
    <n v="513.79999999999995"/>
    <n v="490.7"/>
    <n v="536.54999999999995"/>
    <n v="0.94"/>
    <x v="1"/>
  </r>
  <r>
    <n v="5657"/>
    <n v="1714"/>
    <n v="674"/>
    <n v="2977"/>
    <n v="290"/>
    <n v="1.5329999999999999"/>
    <n v="1.476"/>
    <n v="1.468"/>
    <n v="1.4019999999999999"/>
    <n v="768"/>
    <d v="1899-12-30T06:00:00"/>
    <d v="2026-02-13T00:00:00"/>
    <n v="0.99"/>
    <n v="1.21"/>
    <n v="1.5329999999999999"/>
    <n v="13"/>
    <x v="1"/>
    <x v="16"/>
    <x v="1"/>
    <n v="536.54999999999995"/>
    <n v="516.6"/>
    <n v="513.79999999999995"/>
    <n v="490.7"/>
    <n v="536.54999999999995"/>
    <n v="0.94"/>
    <x v="1"/>
  </r>
  <r>
    <n v="5687"/>
    <n v="1727"/>
    <n v="679"/>
    <n v="2985"/>
    <n v="290"/>
    <n v="1.5329999999999999"/>
    <n v="1.476"/>
    <n v="1.5"/>
    <n v="1.4019999999999999"/>
    <n v="772"/>
    <d v="1899-12-30T05:58:00"/>
    <d v="2026-02-14T00:00:00"/>
    <n v="0.99"/>
    <n v="1.1859999999999999"/>
    <n v="1.5329999999999999"/>
    <n v="14"/>
    <x v="1"/>
    <x v="16"/>
    <x v="1"/>
    <n v="536.54999999999995"/>
    <n v="516.6"/>
    <n v="525"/>
    <n v="490.7"/>
    <n v="536.54999999999995"/>
    <n v="0.94"/>
    <x v="1"/>
  </r>
  <r>
    <n v="5719"/>
    <n v="1727"/>
    <n v="679"/>
    <n v="3015"/>
    <n v="296"/>
    <n v="1.5329999999999999"/>
    <n v="1.476"/>
    <n v="1.5840000000000001"/>
    <n v="1.4019999999999999"/>
    <n v="776"/>
    <d v="1899-12-30T05:59:00"/>
    <d v="2026-02-15T00:00:00"/>
    <n v="0.98"/>
    <n v="1.052"/>
    <n v="1.5840000000000001"/>
    <n v="15"/>
    <x v="1"/>
    <x v="17"/>
    <x v="1"/>
    <n v="536.54999999999995"/>
    <n v="516.6"/>
    <n v="554.4"/>
    <n v="490.7"/>
    <n v="554.4"/>
    <n v="0.94"/>
    <x v="1"/>
  </r>
  <r>
    <n v="5749"/>
    <n v="1727"/>
    <n v="679"/>
    <n v="3040"/>
    <n v="301"/>
    <n v="1.5329999999999999"/>
    <n v="1.476"/>
    <n v="1.5840000000000001"/>
    <n v="1.4019999999999999"/>
    <n v="780"/>
    <d v="1899-12-30T05:59:00"/>
    <d v="2026-02-16T00:00:00"/>
    <n v="0.98"/>
    <n v="1.161"/>
    <n v="1.5840000000000001"/>
    <n v="16"/>
    <x v="1"/>
    <x v="17"/>
    <x v="1"/>
    <n v="536.54999999999995"/>
    <n v="516.6"/>
    <n v="554.4"/>
    <n v="490.7"/>
    <n v="554.4"/>
    <n v="0.94"/>
    <x v="1"/>
  </r>
  <r>
    <n v="5779"/>
    <n v="1740"/>
    <n v="684"/>
    <n v="3052"/>
    <n v="301"/>
    <n v="1.5329999999999999"/>
    <n v="1.476"/>
    <n v="1.5840000000000001"/>
    <n v="1.4019999999999999"/>
    <n v="784"/>
    <d v="1899-12-30T06:05:00"/>
    <d v="2026-02-17T00:00:00"/>
    <n v="0.98"/>
    <n v="1.3280000000000001"/>
    <n v="1.5840000000000001"/>
    <n v="17"/>
    <x v="1"/>
    <x v="17"/>
    <x v="1"/>
    <n v="536.54999999999995"/>
    <n v="516.6"/>
    <n v="554.4"/>
    <n v="490.7"/>
    <n v="554.4"/>
    <n v="0.94"/>
    <x v="1"/>
  </r>
  <r>
    <n v="5809"/>
    <n v="1753"/>
    <n v="689"/>
    <n v="3064"/>
    <n v="301"/>
    <n v="1.556"/>
    <n v="1.476"/>
    <n v="1.5840000000000001"/>
    <n v="1.4019999999999999"/>
    <n v="788"/>
    <d v="1899-12-30T06:16:00"/>
    <d v="2026-02-18T00:00:00"/>
    <n v="0.98"/>
    <n v="1.177"/>
    <n v="1.5840000000000001"/>
    <n v="18"/>
    <x v="1"/>
    <x v="17"/>
    <x v="1"/>
    <n v="544.6"/>
    <n v="516.6"/>
    <n v="554.4"/>
    <n v="490.7"/>
    <n v="554.4"/>
    <n v="0.94"/>
    <x v="1"/>
  </r>
  <r>
    <n v="5839"/>
    <n v="1766"/>
    <n v="694"/>
    <n v="3076"/>
    <n v="301"/>
    <n v="1.556"/>
    <n v="1.476"/>
    <n v="1.5840000000000001"/>
    <n v="1.4019999999999999"/>
    <n v="793"/>
    <d v="1899-12-30T06:00:00"/>
    <d v="2026-02-19T00:00:00"/>
    <n v="0.98"/>
    <n v="1.3620000000000001"/>
    <n v="1.5840000000000001"/>
    <n v="19"/>
    <x v="1"/>
    <x v="17"/>
    <x v="1"/>
    <n v="544.6"/>
    <n v="516.6"/>
    <n v="554.4"/>
    <n v="490.7"/>
    <n v="554.4"/>
    <n v="0.94"/>
    <x v="1"/>
  </r>
  <r>
    <n v="5869"/>
    <n v="1780"/>
    <n v="699"/>
    <n v="3088"/>
    <n v="301"/>
    <n v="1.556"/>
    <n v="1.476"/>
    <n v="1.5840000000000001"/>
    <n v="1.4019999999999999"/>
    <n v="797"/>
    <d v="1899-12-30T05:50:00"/>
    <d v="2026-02-20T00:00:00"/>
    <n v="0.98"/>
    <n v="1.22"/>
    <n v="1.5840000000000001"/>
    <n v="20"/>
    <x v="1"/>
    <x v="17"/>
    <x v="1"/>
    <n v="544.6"/>
    <n v="516.6"/>
    <n v="554.4"/>
    <n v="490.7"/>
    <n v="554.4"/>
    <n v="0.94"/>
    <x v="1"/>
  </r>
  <r>
    <n v="5900"/>
    <n v="1793"/>
    <n v="705"/>
    <n v="3101"/>
    <n v="301"/>
    <n v="1.556"/>
    <n v="1.476"/>
    <n v="1.5840000000000001"/>
    <n v="1.4019999999999999"/>
    <n v="801"/>
    <d v="1899-12-30T06:01:00"/>
    <d v="2026-02-21T00:00:00"/>
    <n v="0.98"/>
    <n v="1.06"/>
    <n v="1.5840000000000001"/>
    <n v="21"/>
    <x v="1"/>
    <x v="17"/>
    <x v="1"/>
    <n v="544.6"/>
    <n v="516.6"/>
    <n v="554.4"/>
    <n v="490.7"/>
    <n v="554.4"/>
    <n v="0.94"/>
    <x v="1"/>
  </r>
  <r>
    <n v="5932"/>
    <n v="1793"/>
    <n v="705"/>
    <n v="3127"/>
    <n v="306"/>
    <n v="1.556"/>
    <n v="1.476"/>
    <n v="1.5840000000000001"/>
    <n v="1.4019999999999999"/>
    <n v="806"/>
    <d v="1899-12-30T06:00:00"/>
    <d v="2026-02-22T00:00:00"/>
    <n v="0.98"/>
    <n v="1.2090000000000001"/>
    <n v="1.5840000000000001"/>
    <n v="22"/>
    <x v="1"/>
    <x v="18"/>
    <x v="1"/>
    <n v="544.6"/>
    <n v="516.6"/>
    <n v="554.4"/>
    <n v="490.7"/>
    <n v="554.4"/>
    <n v="0.94"/>
    <x v="1"/>
  </r>
  <r>
    <n v="5962"/>
    <n v="1793"/>
    <n v="705"/>
    <n v="3152"/>
    <n v="311"/>
    <n v="1.556"/>
    <n v="1.476"/>
    <n v="1.5840000000000001"/>
    <n v="1.4019999999999999"/>
    <n v="810"/>
    <d v="1899-12-30T05:55:00"/>
    <d v="2026-02-23T00:00:00"/>
    <n v="0.98"/>
    <n v="1.2170000000000001"/>
    <n v="1.5840000000000001"/>
    <n v="23"/>
    <x v="1"/>
    <x v="18"/>
    <x v="1"/>
    <n v="544.6"/>
    <n v="516.6"/>
    <n v="554.4"/>
    <n v="490.7"/>
    <n v="554.4"/>
    <n v="0.94"/>
    <x v="1"/>
  </r>
  <r>
    <n v="5993"/>
    <n v="1806"/>
    <n v="710"/>
    <n v="3165"/>
    <n v="311"/>
    <n v="1.556"/>
    <n v="1.4850000000000001"/>
    <n v="1.5840000000000001"/>
    <n v="1.4019999999999999"/>
    <n v="814"/>
    <d v="1899-12-30T06:07:00"/>
    <d v="2026-02-24T00:00:00"/>
    <n v="0.99"/>
    <n v="1.244"/>
    <n v="1.5840000000000001"/>
    <n v="24"/>
    <x v="1"/>
    <x v="18"/>
    <x v="1"/>
    <n v="544.6"/>
    <n v="519.75"/>
    <n v="554.4"/>
    <n v="490.7"/>
    <n v="554.4"/>
    <n v="0.94"/>
    <x v="1"/>
  </r>
  <r>
    <n v="6025"/>
    <n v="1819"/>
    <n v="715"/>
    <n v="3178"/>
    <n v="311"/>
    <n v="1.556"/>
    <n v="1.4850000000000001"/>
    <n v="1.5840000000000001"/>
    <n v="1.4019999999999999"/>
    <n v="818"/>
    <d v="1899-12-30T06:14:00"/>
    <d v="2026-02-25T00:00:00"/>
    <n v="0.99"/>
    <n v="1.141"/>
    <n v="1.5840000000000001"/>
    <n v="25"/>
    <x v="1"/>
    <x v="18"/>
    <x v="1"/>
    <n v="544.6"/>
    <n v="519.75"/>
    <n v="554.4"/>
    <n v="490.7"/>
    <n v="554.4"/>
    <n v="0.94"/>
    <x v="1"/>
  </r>
  <r>
    <n v="6056"/>
    <n v="1833"/>
    <n v="721"/>
    <n v="3190"/>
    <n v="311"/>
    <n v="1.556"/>
    <n v="1.4850000000000001"/>
    <n v="1.5840000000000001"/>
    <n v="1.4019999999999999"/>
    <n v="822"/>
    <d v="1899-12-30T05:50:00"/>
    <d v="2026-02-26T00:00:00"/>
    <n v="0.99"/>
    <n v="1.2689999999999999"/>
    <n v="1.5840000000000001"/>
    <n v="26"/>
    <x v="1"/>
    <x v="18"/>
    <x v="1"/>
    <n v="544.6"/>
    <n v="519.75"/>
    <n v="554.4"/>
    <n v="490.7"/>
    <n v="554.4"/>
    <n v="0.94"/>
    <x v="1"/>
  </r>
  <r>
    <n v="6088"/>
    <n v="1846"/>
    <n v="726"/>
    <n v="3203"/>
    <n v="311"/>
    <n v="1.6830000000000001"/>
    <n v="1.51"/>
    <n v="1.5840000000000001"/>
    <n v="1.4019999999999999"/>
    <n v="827"/>
    <d v="1899-12-30T05:58:00"/>
    <d v="2026-02-27T00:00:00"/>
    <n v="0.99"/>
    <n v="1.458"/>
    <n v="1.6830000000000001"/>
    <n v="27"/>
    <x v="1"/>
    <x v="18"/>
    <x v="1"/>
    <n v="589.05000000000007"/>
    <n v="528.5"/>
    <n v="554.4"/>
    <n v="490.7"/>
    <n v="589.05000000000007"/>
    <n v="0.94"/>
    <x v="1"/>
  </r>
  <r>
    <n v="6119"/>
    <n v="1860"/>
    <n v="731"/>
    <n v="3216"/>
    <n v="311"/>
    <n v="1.6830000000000001"/>
    <n v="1.51"/>
    <n v="1.5840000000000001"/>
    <n v="1.4019999999999999"/>
    <n v="832"/>
    <d v="1899-12-30T06:00:00"/>
    <d v="2026-02-28T00:00:00"/>
    <n v="0.97"/>
    <n v="1.304"/>
    <n v="1.6830000000000001"/>
    <n v="28"/>
    <x v="1"/>
    <x v="18"/>
    <x v="1"/>
    <n v="589.05000000000007"/>
    <n v="528.5"/>
    <n v="554.4"/>
    <n v="490.7"/>
    <n v="589.05000000000007"/>
    <n v="0.94"/>
    <x v="1"/>
  </r>
  <r>
    <n v="6151"/>
    <n v="1860"/>
    <n v="731"/>
    <n v="3242"/>
    <n v="316"/>
    <n v="0"/>
    <n v="0"/>
    <n v="1.4390000000000001"/>
    <n v="0"/>
    <n v="836"/>
    <d v="1899-12-30T06:01:00"/>
    <d v="2026-03-01T00:00:00"/>
    <n v="0.99"/>
    <n v="1.464"/>
    <n v="1.4390000000000001"/>
    <n v="1"/>
    <x v="2"/>
    <x v="6"/>
    <x v="2"/>
    <n v="0"/>
    <n v="0"/>
    <n v="503.65000000000003"/>
    <n v="0"/>
    <n v="503.65000000000003"/>
    <n v="0.94"/>
    <x v="1"/>
  </r>
  <r>
    <n v="6183"/>
    <n v="1860"/>
    <n v="731"/>
    <n v="3268"/>
    <n v="322"/>
    <n v="0"/>
    <n v="0"/>
    <n v="1.4390000000000001"/>
    <n v="1.4430000000000001"/>
    <n v="841"/>
    <d v="1899-12-30T05:58:00"/>
    <d v="2026-03-02T00:00:00"/>
    <n v="0.98"/>
    <n v="1.256"/>
    <n v="1.4430000000000001"/>
    <n v="2"/>
    <x v="2"/>
    <x v="6"/>
    <x v="2"/>
    <n v="0"/>
    <n v="0"/>
    <n v="503.65000000000003"/>
    <n v="505.05"/>
    <n v="505.05"/>
    <n v="0.94"/>
    <x v="1"/>
  </r>
  <r>
    <n v="6216"/>
    <n v="1879"/>
    <n v="737"/>
    <n v="3282"/>
    <n v="322"/>
    <n v="1.5409999999999999"/>
    <n v="1.486"/>
    <n v="1.474"/>
    <n v="1.4430000000000001"/>
    <n v="845"/>
    <d v="1899-12-30T06:15:00"/>
    <d v="2026-03-03T00:00:00"/>
    <n v="0.98"/>
    <n v="1.31"/>
    <n v="1.5409999999999999"/>
    <n v="3"/>
    <x v="2"/>
    <x v="6"/>
    <x v="2"/>
    <n v="539.35"/>
    <n v="520.1"/>
    <n v="515.9"/>
    <n v="505.05"/>
    <n v="539.35"/>
    <n v="0.94"/>
    <x v="1"/>
  </r>
  <r>
    <n v="6248"/>
    <n v="1887"/>
    <n v="742"/>
    <n v="3295"/>
    <n v="322"/>
    <n v="1.5409999999999999"/>
    <n v="1.486"/>
    <n v="1.474"/>
    <n v="1.4430000000000001"/>
    <n v="850"/>
    <d v="1899-12-30T06:04:00"/>
    <d v="2026-03-04T00:00:00"/>
    <n v="0.98"/>
    <n v="1.266"/>
    <n v="1.5409999999999999"/>
    <n v="4"/>
    <x v="2"/>
    <x v="6"/>
    <x v="2"/>
    <n v="539.35"/>
    <n v="520.1"/>
    <n v="515.9"/>
    <n v="505.05"/>
    <n v="539.35"/>
    <n v="0.94"/>
    <x v="1"/>
  </r>
  <r>
    <n v="6278"/>
    <n v="1900"/>
    <n v="747"/>
    <n v="3307"/>
    <n v="322"/>
    <n v="1.5409999999999999"/>
    <n v="1.486"/>
    <n v="1.474"/>
    <n v="1.4430000000000001"/>
    <n v="854"/>
    <d v="1899-12-30T05:56:00"/>
    <d v="2026-03-05T00:00:00"/>
    <n v="0.98"/>
    <n v="1.3009999999999999"/>
    <n v="1.5409999999999999"/>
    <n v="5"/>
    <x v="2"/>
    <x v="6"/>
    <x v="2"/>
    <n v="539.35"/>
    <n v="520.1"/>
    <n v="515.9"/>
    <n v="505.05"/>
    <n v="539.35"/>
    <n v="0.94"/>
    <x v="1"/>
  </r>
  <r>
    <n v="6310"/>
    <n v="1914"/>
    <n v="753"/>
    <n v="3320"/>
    <n v="322"/>
    <n v="1.5409999999999999"/>
    <n v="1.486"/>
    <n v="1.474"/>
    <n v="1.4430000000000001"/>
    <n v="858"/>
    <d v="1899-12-30T05:55:00"/>
    <d v="2026-03-06T00:00:00"/>
    <n v="0.98"/>
    <n v="1.3129999999999999"/>
    <n v="1.5409999999999999"/>
    <n v="6"/>
    <x v="2"/>
    <x v="6"/>
    <x v="2"/>
    <n v="539.35"/>
    <n v="520.1"/>
    <n v="515.9"/>
    <n v="505.05"/>
    <n v="539.35"/>
    <n v="0.94"/>
    <x v="1"/>
  </r>
  <r>
    <n v="6343"/>
    <n v="1928"/>
    <n v="759"/>
    <n v="3334"/>
    <n v="322"/>
    <n v="1.5409999999999999"/>
    <n v="1.486"/>
    <n v="1.474"/>
    <n v="1.4430000000000001"/>
    <n v="863"/>
    <d v="1899-12-30T06:00:00"/>
    <d v="2026-03-07T00:00:00"/>
    <n v="0.99"/>
    <n v="1.3280000000000001"/>
    <n v="1.5409999999999999"/>
    <n v="7"/>
    <x v="2"/>
    <x v="6"/>
    <x v="2"/>
    <n v="539.35"/>
    <n v="520.1"/>
    <n v="515.9"/>
    <n v="505.05"/>
    <n v="539.35"/>
    <n v="0.94"/>
    <x v="1"/>
  </r>
  <r>
    <n v="6375"/>
    <n v="1928"/>
    <n v="759"/>
    <n v="3360"/>
    <n v="327"/>
    <n v="1.5409999999999999"/>
    <n v="1.486"/>
    <n v="1.474"/>
    <n v="1.4430000000000001"/>
    <n v="868"/>
    <d v="1899-12-30T06:00:00"/>
    <d v="2026-03-08T00:00:00"/>
    <n v="0.98"/>
    <n v="1.278"/>
    <n v="1.5409999999999999"/>
    <n v="8"/>
    <x v="2"/>
    <x v="20"/>
    <x v="2"/>
    <n v="539.35"/>
    <n v="520.1"/>
    <n v="515.9"/>
    <n v="505.05"/>
    <n v="539.35"/>
    <n v="0.94"/>
    <x v="1"/>
  </r>
  <r>
    <n v="6408"/>
    <n v="1928"/>
    <n v="759"/>
    <n v="3387"/>
    <n v="332"/>
    <n v="1.5409999999999999"/>
    <n v="1.486"/>
    <n v="1.474"/>
    <n v="1.46"/>
    <n v="873"/>
    <d v="1899-12-30T05:59:00"/>
    <d v="2026-03-09T00:00:00"/>
    <n v="0.98"/>
    <n v="1.3680000000000001"/>
    <n v="1.5409999999999999"/>
    <n v="9"/>
    <x v="2"/>
    <x v="20"/>
    <x v="2"/>
    <n v="539.35"/>
    <n v="520.1"/>
    <n v="515.9"/>
    <n v="511"/>
    <n v="539.35"/>
    <n v="0.94"/>
    <x v="1"/>
  </r>
  <r>
    <n v="6440"/>
    <n v="1942"/>
    <n v="764"/>
    <n v="3400"/>
    <n v="332"/>
    <n v="1.5409999999999999"/>
    <n v="1.486"/>
    <n v="1.474"/>
    <n v="1.46"/>
    <n v="877"/>
    <d v="1899-12-30T06:01:00"/>
    <d v="2026-03-10T00:00:00"/>
    <n v="0.99"/>
    <n v="1.407"/>
    <n v="1.5409999999999999"/>
    <n v="10"/>
    <x v="2"/>
    <x v="20"/>
    <x v="2"/>
    <n v="539.35"/>
    <n v="520.1"/>
    <n v="515.9"/>
    <n v="511"/>
    <n v="539.35"/>
    <n v="0.94"/>
    <x v="1"/>
  </r>
  <r>
    <n v="6474"/>
    <n v="1955"/>
    <n v="770"/>
    <n v="3415"/>
    <n v="332"/>
    <n v="1.5409999999999999"/>
    <n v="1.486"/>
    <n v="1.474"/>
    <n v="1.46"/>
    <n v="882"/>
    <d v="1899-12-30T06:32:00"/>
    <d v="2026-03-11T00:00:00"/>
    <n v="0.98"/>
    <n v="1.226"/>
    <n v="1.5409999999999999"/>
    <n v="11"/>
    <x v="2"/>
    <x v="20"/>
    <x v="2"/>
    <n v="539.35"/>
    <n v="520.1"/>
    <n v="515.9"/>
    <n v="511"/>
    <n v="539.35"/>
    <n v="0.94"/>
    <x v="1"/>
  </r>
  <r>
    <n v="6507"/>
    <n v="1970"/>
    <n v="776"/>
    <n v="3427"/>
    <n v="332"/>
    <n v="1.5409999999999999"/>
    <n v="1.504"/>
    <n v="1.474"/>
    <n v="1.46"/>
    <n v="888"/>
    <d v="1899-12-30T05:52:00"/>
    <d v="2026-03-12T00:00:00"/>
    <n v="0.98"/>
    <n v="1.3460000000000001"/>
    <n v="1.5409999999999999"/>
    <n v="12"/>
    <x v="2"/>
    <x v="20"/>
    <x v="2"/>
    <n v="539.35"/>
    <n v="526.4"/>
    <n v="515.9"/>
    <n v="511"/>
    <n v="539.35"/>
    <n v="0.94"/>
    <x v="1"/>
  </r>
  <r>
    <n v="6540"/>
    <n v="1983"/>
    <n v="781"/>
    <n v="3441"/>
    <n v="332"/>
    <n v="1.5409999999999999"/>
    <n v="1.508"/>
    <n v="1.474"/>
    <n v="1.46"/>
    <n v="893"/>
    <d v="1899-12-30T06:01:00"/>
    <d v="2026-03-13T00:00:00"/>
    <n v="0.98"/>
    <n v="1.4259999999999999"/>
    <n v="1.5409999999999999"/>
    <n v="13"/>
    <x v="2"/>
    <x v="20"/>
    <x v="2"/>
    <n v="539.35"/>
    <n v="527.79999999999995"/>
    <n v="515.9"/>
    <n v="511"/>
    <n v="539.35"/>
    <n v="0.94"/>
    <x v="1"/>
  </r>
  <r>
    <n v="6573"/>
    <n v="1997"/>
    <n v="787"/>
    <n v="3455"/>
    <n v="332"/>
    <n v="1.5409999999999999"/>
    <n v="1.5149999999999999"/>
    <n v="1.474"/>
    <n v="1.46"/>
    <n v="897"/>
    <d v="1899-12-30T06:05:00"/>
    <d v="2026-03-14T00:00:00"/>
    <n v="0.99"/>
    <n v="1.3180000000000001"/>
    <n v="1.5409999999999999"/>
    <n v="14"/>
    <x v="2"/>
    <x v="20"/>
    <x v="2"/>
    <n v="539.35"/>
    <n v="530.25"/>
    <n v="515.9"/>
    <n v="511"/>
    <n v="539.35"/>
    <n v="0.94"/>
    <x v="1"/>
  </r>
  <r>
    <n v="6606"/>
    <n v="1997"/>
    <n v="787"/>
    <n v="3482"/>
    <n v="337"/>
    <n v="1.5409999999999999"/>
    <n v="1.5149999999999999"/>
    <n v="1.5089999999999999"/>
    <n v="1.5369999999999999"/>
    <n v="903"/>
    <d v="1899-12-30T05:58:00"/>
    <d v="2026-03-15T00:00:00"/>
    <n v="0.97"/>
    <n v="1.319"/>
    <n v="1.5409999999999999"/>
    <n v="15"/>
    <x v="2"/>
    <x v="21"/>
    <x v="2"/>
    <n v="539.35"/>
    <n v="530.25"/>
    <n v="528.15"/>
    <n v="537.94999999999993"/>
    <n v="539.35"/>
    <n v="0.94"/>
    <x v="1"/>
  </r>
  <r>
    <n v="6638"/>
    <n v="1997"/>
    <n v="787"/>
    <n v="3509"/>
    <n v="343"/>
    <n v="1.5409999999999999"/>
    <n v="1.5149999999999999"/>
    <n v="1.5089999999999999"/>
    <n v="1.5369999999999999"/>
    <n v="908"/>
    <d v="1899-12-30T05:59:00"/>
    <d v="2026-03-16T00:00:00"/>
    <n v="0.98"/>
    <n v="1.3029999999999999"/>
    <n v="1.5409999999999999"/>
    <n v="16"/>
    <x v="2"/>
    <x v="21"/>
    <x v="2"/>
    <n v="539.35"/>
    <n v="530.25"/>
    <n v="528.15"/>
    <n v="537.94999999999993"/>
    <n v="539.35"/>
    <n v="0.94"/>
    <x v="1"/>
  </r>
  <r>
    <n v="6671"/>
    <n v="2012"/>
    <n v="793"/>
    <n v="3523"/>
    <n v="343"/>
    <n v="1.5409999999999999"/>
    <n v="1.5149999999999999"/>
    <n v="1.5089999999999999"/>
    <n v="1.5369999999999999"/>
    <n v="914"/>
    <d v="1899-12-30T06:09:00"/>
    <d v="2026-03-17T00:00:00"/>
    <n v="0.99"/>
    <n v="1.335"/>
    <n v="1.5409999999999999"/>
    <n v="17"/>
    <x v="2"/>
    <x v="21"/>
    <x v="2"/>
    <n v="539.35"/>
    <n v="530.25"/>
    <n v="528.15"/>
    <n v="537.94999999999993"/>
    <n v="539.35"/>
    <n v="0.94"/>
    <x v="1"/>
  </r>
  <r>
    <n v="6704"/>
    <n v="2026"/>
    <n v="798"/>
    <n v="3526"/>
    <n v="343"/>
    <n v="1.5409999999999999"/>
    <n v="1.5149999999999999"/>
    <n v="1.5089999999999999"/>
    <n v="1.5369999999999999"/>
    <n v="918"/>
    <d v="1899-12-30T06:05:00"/>
    <d v="2026-03-18T00:00:00"/>
    <n v="0.98"/>
    <n v="1.335"/>
    <n v="1.5409999999999999"/>
    <n v="18"/>
    <x v="2"/>
    <x v="21"/>
    <x v="2"/>
    <n v="539.35"/>
    <n v="530.25"/>
    <n v="528.15"/>
    <n v="537.94999999999993"/>
    <n v="539.35"/>
    <n v="0.94"/>
    <x v="1"/>
  </r>
  <r>
    <n v="6737"/>
    <n v="2040"/>
    <n v="804"/>
    <n v="3549"/>
    <n v="343"/>
    <n v="1.5409999999999999"/>
    <n v="1.5149999999999999"/>
    <n v="1.5089999999999999"/>
    <n v="1.5369999999999999"/>
    <n v="923"/>
    <d v="1899-12-30T05:52:00"/>
    <d v="2026-03-19T00:00:00"/>
    <n v="0.98"/>
    <n v="1.335"/>
    <n v="1.5409999999999999"/>
    <n v="19"/>
    <x v="2"/>
    <x v="21"/>
    <x v="2"/>
    <n v="539.35"/>
    <n v="530.25"/>
    <n v="528.15"/>
    <n v="537.94999999999993"/>
    <n v="539.35"/>
    <n v="0.94"/>
    <x v="1"/>
  </r>
  <r>
    <n v="6770"/>
    <n v="2054"/>
    <n v="809"/>
    <n v="3562"/>
    <n v="343"/>
    <n v="1.5409999999999999"/>
    <n v="1.5149999999999999"/>
    <n v="1.5089999999999999"/>
    <n v="1.5369999999999999"/>
    <n v="928"/>
    <d v="1899-12-30T05:40:00"/>
    <d v="2026-03-20T00:00:00"/>
    <n v="0.99"/>
    <n v="1.3260000000000001"/>
    <n v="1.5409999999999999"/>
    <n v="20"/>
    <x v="2"/>
    <x v="21"/>
    <x v="2"/>
    <n v="539.35"/>
    <n v="530.25"/>
    <n v="528.15"/>
    <n v="537.94999999999993"/>
    <n v="539.35"/>
    <n v="0.94"/>
    <x v="1"/>
  </r>
  <r>
    <n v="6803"/>
    <n v="2067"/>
    <n v="815"/>
    <n v="3576"/>
    <n v="343"/>
    <n v="1.5409999999999999"/>
    <n v="1.5149999999999999"/>
    <n v="1.5089999999999999"/>
    <n v="1.5369999999999999"/>
    <n v="933"/>
    <d v="1899-12-30T05:56:00"/>
    <d v="2026-03-21T00:00:00"/>
    <n v="0.99"/>
    <n v="1.278"/>
    <n v="1.5409999999999999"/>
    <n v="21"/>
    <x v="2"/>
    <x v="21"/>
    <x v="2"/>
    <n v="539.35"/>
    <n v="530.25"/>
    <n v="528.15"/>
    <n v="537.94999999999993"/>
    <n v="539.35"/>
    <n v="0.94"/>
    <x v="1"/>
  </r>
  <r>
    <n v="6836"/>
    <n v="2067"/>
    <n v="815"/>
    <n v="3603"/>
    <n v="348"/>
    <n v="1.5409999999999999"/>
    <n v="1.5149999999999999"/>
    <n v="1.5089999999999999"/>
    <n v="1.5369999999999999"/>
    <n v="938"/>
    <d v="1899-12-30T05:58:00"/>
    <d v="2026-03-22T00:00:00"/>
    <n v="0.98"/>
    <n v="1.33"/>
    <n v="1.5409999999999999"/>
    <n v="22"/>
    <x v="2"/>
    <x v="22"/>
    <x v="2"/>
    <n v="539.35"/>
    <n v="530.25"/>
    <n v="528.15"/>
    <n v="537.94999999999993"/>
    <n v="539.35"/>
    <n v="0.94"/>
    <x v="1"/>
  </r>
  <r>
    <n v="6868"/>
    <n v="2067"/>
    <n v="815"/>
    <n v="3631"/>
    <n v="354"/>
    <n v="1.5409999999999999"/>
    <n v="1.5149999999999999"/>
    <n v="1.5089999999999999"/>
    <n v="1.5369999999999999"/>
    <n v="944"/>
    <d v="1899-12-30T05:57:00"/>
    <d v="2026-03-23T00:00:00"/>
    <n v="0.98"/>
    <n v="1.3740000000000001"/>
    <n v="1.5409999999999999"/>
    <n v="23"/>
    <x v="2"/>
    <x v="22"/>
    <x v="2"/>
    <n v="539.35"/>
    <n v="530.25"/>
    <n v="528.15"/>
    <n v="537.94999999999993"/>
    <n v="539.35"/>
    <n v="0.94"/>
    <x v="1"/>
  </r>
  <r>
    <n v="6893"/>
    <n v="2082"/>
    <n v="815"/>
    <n v="3643"/>
    <n v="354"/>
    <n v="1.5409999999999999"/>
    <n v="1.5149999999999999"/>
    <n v="1.5089999999999999"/>
    <n v="1.5369999999999999"/>
    <n v="949"/>
    <d v="1899-12-30T06:02:00"/>
    <d v="2026-03-24T00:00:00"/>
    <n v="0.98"/>
    <n v="1.3740000000000001"/>
    <n v="1.5409999999999999"/>
    <n v="24"/>
    <x v="2"/>
    <x v="22"/>
    <x v="2"/>
    <n v="539.35"/>
    <n v="530.25"/>
    <n v="528.15"/>
    <n v="537.94999999999993"/>
    <n v="539.35"/>
    <n v="0.9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n v="61414"/>
    <n v="23508"/>
    <n v="7670"/>
    <n v="27559"/>
    <n v="2675"/>
    <n v="0"/>
    <n v="0"/>
    <n v="1.4179999999999999"/>
    <n v="0"/>
    <n v="20589"/>
    <s v="07-20"/>
    <d v="2025-01-01T00:00:00"/>
    <n v="0.94"/>
    <n v="1.081"/>
    <n v="1.4179999999999999"/>
    <n v="1"/>
    <x v="0"/>
    <x v="0"/>
    <x v="0"/>
    <n v="0"/>
    <n v="0"/>
    <n v="496.29999999999995"/>
    <n v="0"/>
    <n v="496.29999999999995"/>
    <n v="0.92"/>
    <x v="0"/>
    <n v="0"/>
    <n v="0"/>
  </r>
  <r>
    <n v="61442"/>
    <n v="23508"/>
    <n v="7670"/>
    <n v="27582"/>
    <n v="2680"/>
    <n v="0"/>
    <n v="0"/>
    <n v="1.409"/>
    <n v="1.417"/>
    <n v="20867"/>
    <s v="07-29"/>
    <d v="2025-01-02T00:00:00"/>
    <n v="0.98"/>
    <n v="1.1020000000000001"/>
    <n v="1.417"/>
    <n v="2"/>
    <x v="0"/>
    <x v="0"/>
    <x v="0"/>
    <n v="0"/>
    <n v="0"/>
    <n v="493.15000000000003"/>
    <n v="495.95"/>
    <n v="495.95"/>
    <n v="0.92"/>
    <x v="0"/>
    <n v="246.57500000000002"/>
    <n v="0.70450000000000002"/>
  </r>
  <r>
    <n v="61470"/>
    <n v="23520"/>
    <n v="7675"/>
    <n v="27593"/>
    <n v="2680"/>
    <n v="1.375"/>
    <n v="1.2849999999999999"/>
    <n v="1.409"/>
    <n v="1.417"/>
    <n v="20875"/>
    <s v="07-10"/>
    <d v="2025-01-03T00:00:00"/>
    <n v="0.98"/>
    <n v="0.91500000000000004"/>
    <n v="1.417"/>
    <n v="3"/>
    <x v="0"/>
    <x v="0"/>
    <x v="0"/>
    <n v="481.25"/>
    <n v="449.75"/>
    <n v="493.15000000000003"/>
    <n v="495.95"/>
    <n v="495.95"/>
    <n v="0.92"/>
    <x v="0"/>
    <n v="487.20000000000005"/>
    <n v="1.3920000000000001"/>
  </r>
  <r>
    <n v="61499"/>
    <n v="23533"/>
    <n v="7680"/>
    <n v="27604"/>
    <n v="2680"/>
    <n v="1.4239999999999999"/>
    <n v="1.341"/>
    <n v="1.409"/>
    <n v="1.417"/>
    <n v="20885"/>
    <s v="07-05"/>
    <d v="2025-01-04T00:00:00"/>
    <n v="0.95"/>
    <n v="1.079"/>
    <n v="1.4239999999999999"/>
    <n v="4"/>
    <x v="0"/>
    <x v="0"/>
    <x v="0"/>
    <n v="498.4"/>
    <n v="469.34999999999997"/>
    <n v="493.15000000000003"/>
    <n v="495.95"/>
    <n v="498.4"/>
    <n v="0.92"/>
    <x v="0"/>
    <n v="494.55"/>
    <n v="1.413"/>
  </r>
  <r>
    <n v="61532"/>
    <n v="23533"/>
    <n v="7680"/>
    <n v="27625"/>
    <n v="2680"/>
    <n v="1.4239999999999999"/>
    <n v="1.341"/>
    <n v="1.4419999999999999"/>
    <n v="1.417"/>
    <n v="20859"/>
    <s v="07-25"/>
    <d v="2025-01-05T00:00:00"/>
    <n v="0.95"/>
    <n v="1.105"/>
    <n v="1.4419999999999999"/>
    <n v="5"/>
    <x v="0"/>
    <x v="1"/>
    <x v="0"/>
    <n v="498.4"/>
    <n v="469.34999999999997"/>
    <n v="504.7"/>
    <n v="495.95"/>
    <n v="504.7"/>
    <n v="0.94"/>
    <x v="0"/>
    <n v="497.17499999999995"/>
    <n v="1.4204999999999999"/>
  </r>
  <r>
    <n v="61554"/>
    <n v="23533"/>
    <n v="7680"/>
    <n v="27650"/>
    <n v="2689"/>
    <n v="1.4239999999999999"/>
    <n v="1.341"/>
    <n v="1.4419999999999999"/>
    <n v="1.417"/>
    <n v="20898"/>
    <s v="07-00"/>
    <d v="2025-01-06T00:00:00"/>
    <n v="0.95"/>
    <n v="1.23"/>
    <n v="1.4419999999999999"/>
    <n v="6"/>
    <x v="0"/>
    <x v="1"/>
    <x v="0"/>
    <n v="498.4"/>
    <n v="469.34999999999997"/>
    <n v="504.7"/>
    <n v="495.95"/>
    <n v="504.7"/>
    <n v="0.94"/>
    <x v="0"/>
    <n v="497.17499999999995"/>
    <n v="1.4204999999999999"/>
  </r>
  <r>
    <n v="61583"/>
    <n v="23595"/>
    <n v="7685"/>
    <n v="27662"/>
    <n v="2689"/>
    <n v="1.47"/>
    <n v="1.341"/>
    <n v="1.4419999999999999"/>
    <n v="1.417"/>
    <n v="20907"/>
    <s v="06-56"/>
    <d v="2025-01-07T00:00:00"/>
    <n v="0.98"/>
    <n v="1.117"/>
    <n v="1.47"/>
    <n v="7"/>
    <x v="0"/>
    <x v="1"/>
    <x v="0"/>
    <n v="514.5"/>
    <n v="469.34999999999997"/>
    <n v="504.7"/>
    <n v="495.95"/>
    <n v="514.5"/>
    <n v="0.94"/>
    <x v="0"/>
    <n v="500.32499999999999"/>
    <n v="1.4295"/>
  </r>
  <r>
    <n v="61612"/>
    <n v="23558"/>
    <n v="7690"/>
    <n v="27674"/>
    <n v="2689"/>
    <n v="1.47"/>
    <n v="1.341"/>
    <n v="1.4419999999999999"/>
    <n v="1.417"/>
    <n v="20915"/>
    <s v="07-09"/>
    <d v="2025-01-08T00:00:00"/>
    <n v="0.94"/>
    <n v="1.171"/>
    <n v="1.47"/>
    <n v="8"/>
    <x v="0"/>
    <x v="1"/>
    <x v="0"/>
    <n v="514.5"/>
    <n v="469.34999999999997"/>
    <n v="504.7"/>
    <n v="495.95"/>
    <n v="514.5"/>
    <n v="0.94"/>
    <x v="0"/>
    <n v="500.32499999999999"/>
    <n v="1.4295"/>
  </r>
  <r>
    <n v="61641"/>
    <n v="23571"/>
    <n v="7695"/>
    <n v="27685"/>
    <n v="2689"/>
    <n v="1.47"/>
    <n v="1.4970000000000001"/>
    <n v="1.4419999999999999"/>
    <n v="1.417"/>
    <n v="20924"/>
    <s v="07-20"/>
    <d v="2025-01-09T00:00:00"/>
    <n v="0.96"/>
    <n v="1.1160000000000001"/>
    <n v="1.4970000000000001"/>
    <n v="9"/>
    <x v="0"/>
    <x v="1"/>
    <x v="0"/>
    <n v="514.5"/>
    <n v="523.95000000000005"/>
    <n v="504.7"/>
    <n v="495.95"/>
    <n v="523.95000000000005"/>
    <n v="0.94"/>
    <x v="0"/>
    <n v="509.6"/>
    <n v="1.456"/>
  </r>
  <r>
    <n v="61670"/>
    <n v="23583"/>
    <n v="7699"/>
    <n v="27696"/>
    <n v="2689"/>
    <n v="1.544"/>
    <n v="1.4970000000000001"/>
    <n v="1.4419999999999999"/>
    <n v="1.417"/>
    <n v="20934"/>
    <s v="08-00"/>
    <d v="2025-01-10T00:00:00"/>
    <n v="0.94"/>
    <n v="0.98599999999999999"/>
    <n v="1.544"/>
    <n v="10"/>
    <x v="0"/>
    <x v="1"/>
    <x v="0"/>
    <n v="540.4"/>
    <n v="523.95000000000005"/>
    <n v="504.7"/>
    <n v="495.95"/>
    <n v="540.4"/>
    <n v="0.94"/>
    <x v="0"/>
    <n v="514.32500000000005"/>
    <n v="1.4695"/>
  </r>
  <r>
    <n v="61697"/>
    <n v="23595"/>
    <n v="7704"/>
    <n v="27707"/>
    <n v="2689"/>
    <n v="1.544"/>
    <n v="1.4970000000000001"/>
    <n v="1.4419999999999999"/>
    <n v="1.417"/>
    <n v="20942"/>
    <s v="07-07"/>
    <d v="2025-01-11T00:00:00"/>
    <n v="0.97"/>
    <n v="1.08"/>
    <n v="1.544"/>
    <n v="11"/>
    <x v="0"/>
    <x v="1"/>
    <x v="0"/>
    <n v="540.4"/>
    <n v="523.95000000000005"/>
    <n v="504.7"/>
    <n v="495.95"/>
    <n v="540.4"/>
    <n v="0.94"/>
    <x v="0"/>
    <n v="514.32500000000005"/>
    <n v="1.4695"/>
  </r>
  <r>
    <n v="61734"/>
    <n v="23595"/>
    <n v="7704"/>
    <n v="27739"/>
    <n v="2694"/>
    <n v="1.544"/>
    <n v="1.4970000000000001"/>
    <n v="1.4419999999999999"/>
    <n v="1.417"/>
    <n v="20953"/>
    <s v="14-54"/>
    <d v="2025-01-12T00:00:00"/>
    <n v="0.95"/>
    <n v="1.0109999999999999"/>
    <n v="1.544"/>
    <n v="12"/>
    <x v="0"/>
    <x v="2"/>
    <x v="0"/>
    <n v="540.4"/>
    <n v="523.95000000000005"/>
    <n v="504.7"/>
    <n v="495.95"/>
    <n v="540.4"/>
    <n v="0.94"/>
    <x v="0"/>
    <n v="514.32500000000005"/>
    <n v="1.4695"/>
  </r>
  <r>
    <n v="61752"/>
    <n v="23595"/>
    <n v="7704"/>
    <n v="27753"/>
    <n v="2699"/>
    <n v="1.544"/>
    <n v="1.4970000000000001"/>
    <n v="1.4419999999999999"/>
    <n v="1.417"/>
    <n v="20958"/>
    <s v="07-05"/>
    <s v="13/01/2025"/>
    <n v="0.94"/>
    <n v="1.1379999999999999"/>
    <n v="1.544"/>
    <n v="13"/>
    <x v="0"/>
    <x v="2"/>
    <x v="0"/>
    <n v="540.4"/>
    <n v="523.95000000000005"/>
    <n v="504.7"/>
    <n v="495.95"/>
    <n v="540.4"/>
    <n v="0.92"/>
    <x v="0"/>
    <n v="514.32500000000005"/>
    <n v="1.4695"/>
  </r>
  <r>
    <n v="61780"/>
    <n v="23607"/>
    <n v="7709"/>
    <n v="27764"/>
    <n v="2699"/>
    <n v="1.544"/>
    <n v="1.4970000000000001"/>
    <n v="1.4419999999999999"/>
    <n v="1.417"/>
    <n v="20966"/>
    <s v="06-56"/>
    <s v="14/01/2025"/>
    <n v="0.95"/>
    <n v="1.1339999999999999"/>
    <n v="1.544"/>
    <n v="14"/>
    <x v="0"/>
    <x v="2"/>
    <x v="0"/>
    <n v="540.4"/>
    <n v="523.95000000000005"/>
    <n v="504.7"/>
    <n v="495.95"/>
    <n v="540.4"/>
    <n v="0.92"/>
    <x v="0"/>
    <n v="514.32500000000005"/>
    <n v="1.4695"/>
  </r>
  <r>
    <n v="61910"/>
    <n v="23620"/>
    <n v="7714"/>
    <n v="27776"/>
    <n v="2699"/>
    <n v="1.544"/>
    <n v="1.4970000000000001"/>
    <n v="1.4419999999999999"/>
    <n v="1.417"/>
    <n v="20975"/>
    <s v="07-14"/>
    <s v="15/01/2025"/>
    <n v="0.97"/>
    <n v="1.1220000000000001"/>
    <n v="1.544"/>
    <n v="15"/>
    <x v="0"/>
    <x v="2"/>
    <x v="0"/>
    <n v="540.4"/>
    <n v="523.95000000000005"/>
    <n v="504.7"/>
    <n v="495.95"/>
    <n v="540.4"/>
    <n v="0.92"/>
    <x v="0"/>
    <n v="514.32500000000005"/>
    <n v="1.4695"/>
  </r>
  <r>
    <n v="61840"/>
    <n v="23633"/>
    <n v="7719"/>
    <n v="27788"/>
    <n v="2699"/>
    <n v="1.544"/>
    <n v="1.4970000000000001"/>
    <n v="1.4419999999999999"/>
    <n v="1.417"/>
    <n v="20984"/>
    <s v="08-06"/>
    <s v="16/01/2025"/>
    <n v="0.96"/>
    <n v="1.111"/>
    <n v="1.544"/>
    <n v="16"/>
    <x v="0"/>
    <x v="2"/>
    <x v="0"/>
    <n v="540.4"/>
    <n v="523.95000000000005"/>
    <n v="504.7"/>
    <n v="495.95"/>
    <n v="540.4"/>
    <n v="0.92"/>
    <x v="0"/>
    <n v="514.32500000000005"/>
    <n v="1.4695"/>
  </r>
  <r>
    <n v="61869"/>
    <n v="23645"/>
    <n v="7724"/>
    <n v="27800"/>
    <n v="2699"/>
    <n v="1.544"/>
    <n v="1.4970000000000001"/>
    <n v="1.4419999999999999"/>
    <n v="1.417"/>
    <n v="20592"/>
    <s v="07-49"/>
    <s v="17/01/2025"/>
    <n v="0.96"/>
    <n v="1.129"/>
    <n v="1.544"/>
    <n v="17"/>
    <x v="0"/>
    <x v="2"/>
    <x v="0"/>
    <n v="540.4"/>
    <n v="523.95000000000005"/>
    <n v="504.7"/>
    <n v="495.95"/>
    <n v="540.4"/>
    <n v="0.92"/>
    <x v="0"/>
    <n v="514.32500000000005"/>
    <n v="1.4695"/>
  </r>
  <r>
    <n v="61898"/>
    <n v="23658"/>
    <n v="7729"/>
    <n v="27810"/>
    <n v="2699"/>
    <n v="1.544"/>
    <n v="1.4970000000000001"/>
    <n v="1.4419999999999999"/>
    <n v="1.417"/>
    <n v="21001"/>
    <s v="07-03"/>
    <s v="18/01/2025"/>
    <n v="0.95"/>
    <n v="1.1579999999999999"/>
    <n v="1.544"/>
    <n v="18"/>
    <x v="0"/>
    <x v="2"/>
    <x v="0"/>
    <n v="540.4"/>
    <n v="523.95000000000005"/>
    <n v="504.7"/>
    <n v="495.95"/>
    <n v="540.4"/>
    <n v="0.92"/>
    <x v="0"/>
    <n v="514.32500000000005"/>
    <n v="1.4695"/>
  </r>
  <r>
    <n v="61928"/>
    <n v="23658"/>
    <n v="7729"/>
    <n v="27836"/>
    <n v="2703"/>
    <n v="1.544"/>
    <n v="1.4970000000000001"/>
    <n v="1.4419999999999999"/>
    <n v="1.417"/>
    <n v="21010"/>
    <s v="08-28"/>
    <s v="19/01/2025"/>
    <n v="0.96"/>
    <n v="1.1100000000000001"/>
    <n v="1.544"/>
    <n v="19"/>
    <x v="0"/>
    <x v="3"/>
    <x v="0"/>
    <n v="540.4"/>
    <n v="523.95000000000005"/>
    <n v="504.7"/>
    <n v="495.95"/>
    <n v="540.4"/>
    <n v="0.92"/>
    <x v="0"/>
    <n v="514.32500000000005"/>
    <n v="1.4695"/>
  </r>
  <r>
    <n v="61959"/>
    <n v="23658"/>
    <n v="7729"/>
    <n v="27855"/>
    <n v="2708"/>
    <n v="1.544"/>
    <n v="1.4970000000000001"/>
    <n v="1.4419999999999999"/>
    <n v="1.417"/>
    <n v="21019"/>
    <s v="06-57"/>
    <s v="20/01/2025"/>
    <n v="0.96"/>
    <n v="1.169"/>
    <n v="1.544"/>
    <n v="20"/>
    <x v="0"/>
    <x v="3"/>
    <x v="0"/>
    <n v="540.4"/>
    <n v="523.95000000000005"/>
    <n v="504.7"/>
    <n v="495.95"/>
    <n v="540.4"/>
    <n v="0.92"/>
    <x v="0"/>
    <n v="514.32500000000005"/>
    <n v="1.4695"/>
  </r>
  <r>
    <n v="61987"/>
    <n v="23673"/>
    <n v="7734"/>
    <n v="27871"/>
    <n v="2708"/>
    <n v="1.544"/>
    <n v="1.4970000000000001"/>
    <n v="1.4419999999999999"/>
    <n v="1.417"/>
    <n v="21028"/>
    <s v="09-19"/>
    <s v="21/01/2025"/>
    <n v="0.95"/>
    <n v="1.1759999999999999"/>
    <n v="1.544"/>
    <n v="21"/>
    <x v="0"/>
    <x v="3"/>
    <x v="0"/>
    <n v="540.4"/>
    <n v="523.95000000000005"/>
    <n v="504.7"/>
    <n v="495.95"/>
    <n v="540.4"/>
    <n v="0.92"/>
    <x v="0"/>
    <n v="514.32500000000005"/>
    <n v="1.4695"/>
  </r>
  <r>
    <n v="62014"/>
    <n v="23684"/>
    <n v="7739"/>
    <n v="27881"/>
    <n v="2708"/>
    <n v="1.544"/>
    <n v="1.5109999999999999"/>
    <n v="1.4419999999999999"/>
    <n v="1.417"/>
    <n v="21037"/>
    <s v="07-06"/>
    <s v="22/01/2025"/>
    <n v="0.94"/>
    <n v="1.173"/>
    <n v="1.544"/>
    <n v="22"/>
    <x v="0"/>
    <x v="3"/>
    <x v="0"/>
    <n v="540.4"/>
    <n v="528.84999999999991"/>
    <n v="504.7"/>
    <n v="495.95"/>
    <n v="540.4"/>
    <n v="0.92"/>
    <x v="0"/>
    <n v="516.77499999999998"/>
    <n v="1.4764999999999999"/>
  </r>
  <r>
    <n v="62094"/>
    <n v="23698"/>
    <n v="7744"/>
    <n v="27893"/>
    <n v="2708"/>
    <n v="1.544"/>
    <n v="1.5109999999999999"/>
    <n v="1.4419999999999999"/>
    <n v="1.417"/>
    <n v="21034"/>
    <s v="07-28"/>
    <s v="23/01/2025"/>
    <n v="0.95"/>
    <n v="1.06"/>
    <n v="1.544"/>
    <n v="23"/>
    <x v="0"/>
    <x v="3"/>
    <x v="0"/>
    <n v="540.4"/>
    <n v="528.84999999999991"/>
    <n v="504.7"/>
    <n v="495.95"/>
    <n v="540.4"/>
    <n v="0.92"/>
    <x v="0"/>
    <n v="516.77499999999998"/>
    <n v="1.4764999999999999"/>
  </r>
  <r>
    <n v="62073"/>
    <n v="23710"/>
    <n v="7749"/>
    <n v="27905"/>
    <n v="2708"/>
    <n v="1.544"/>
    <n v="1.5109999999999999"/>
    <n v="1.4419999999999999"/>
    <n v="1.417"/>
    <n v="21054"/>
    <s v="07-28"/>
    <s v="24/01/2025"/>
    <n v="0.95"/>
    <n v="1.101"/>
    <n v="1.544"/>
    <n v="24"/>
    <x v="0"/>
    <x v="3"/>
    <x v="0"/>
    <n v="540.4"/>
    <n v="528.84999999999991"/>
    <n v="504.7"/>
    <n v="495.95"/>
    <n v="540.4"/>
    <n v="0.92"/>
    <x v="0"/>
    <n v="516.77499999999998"/>
    <n v="1.4764999999999999"/>
  </r>
  <r>
    <n v="62110"/>
    <n v="23724"/>
    <n v="7754"/>
    <n v="27923"/>
    <n v="2708"/>
    <n v="1.544"/>
    <n v="1.5109999999999999"/>
    <n v="1.488"/>
    <n v="1.417"/>
    <n v="21066"/>
    <s v="12-54"/>
    <s v="25/01/2025"/>
    <n v="0.94"/>
    <n v="1.35"/>
    <n v="1.544"/>
    <n v="25"/>
    <x v="0"/>
    <x v="3"/>
    <x v="0"/>
    <n v="540.4"/>
    <n v="528.84999999999991"/>
    <n v="520.79999999999995"/>
    <n v="495.95"/>
    <n v="540.4"/>
    <n v="0.92"/>
    <x v="0"/>
    <n v="524.82499999999993"/>
    <n v="1.4994999999999998"/>
  </r>
  <r>
    <n v="62144"/>
    <n v="23724"/>
    <n v="7754"/>
    <n v="27951"/>
    <n v="2713"/>
    <n v="1.544"/>
    <n v="1.5109999999999999"/>
    <n v="1.5880000000000001"/>
    <n v="1.466"/>
    <n v="21077"/>
    <s v="14-59"/>
    <s v="26/01/2025"/>
    <n v="0.94"/>
    <n v="1.4039999999999999"/>
    <n v="1.5880000000000001"/>
    <n v="26"/>
    <x v="0"/>
    <x v="4"/>
    <x v="0"/>
    <n v="540.4"/>
    <n v="528.84999999999991"/>
    <n v="555.80000000000007"/>
    <n v="513.1"/>
    <n v="555.80000000000007"/>
    <n v="0.92"/>
    <x v="0"/>
    <n v="534.625"/>
    <n v="1.5275000000000001"/>
  </r>
  <r>
    <n v="62164"/>
    <n v="23724"/>
    <n v="7754"/>
    <n v="27966"/>
    <n v="2719"/>
    <n v="1.544"/>
    <n v="1.5109999999999999"/>
    <n v="1.538"/>
    <n v="1.466"/>
    <n v="21083"/>
    <s v="06-45"/>
    <s v="27/01/2025"/>
    <n v="0.94"/>
    <n v="1.2310000000000001"/>
    <n v="1.544"/>
    <n v="27"/>
    <x v="0"/>
    <x v="4"/>
    <x v="0"/>
    <n v="540.4"/>
    <n v="528.84999999999991"/>
    <n v="538.30000000000007"/>
    <n v="513.1"/>
    <n v="540.4"/>
    <n v="0.92"/>
    <x v="0"/>
    <n v="533.57500000000005"/>
    <n v="1.5245000000000002"/>
  </r>
  <r>
    <n v="62195"/>
    <n v="23737"/>
    <n v="7759"/>
    <n v="27979"/>
    <n v="2719"/>
    <n v="1.544"/>
    <n v="1.5109999999999999"/>
    <n v="1.538"/>
    <n v="1.466"/>
    <n v="21092"/>
    <s v="07-19"/>
    <s v="28/01/2025"/>
    <n v="0.92"/>
    <n v="1.29"/>
    <n v="1.544"/>
    <n v="28"/>
    <x v="0"/>
    <x v="4"/>
    <x v="0"/>
    <n v="540.4"/>
    <n v="528.84999999999991"/>
    <n v="538.30000000000007"/>
    <n v="513.1"/>
    <n v="540.4"/>
    <n v="0.92"/>
    <x v="0"/>
    <n v="533.57500000000005"/>
    <n v="1.5245000000000002"/>
  </r>
  <r>
    <n v="62225"/>
    <n v="23750"/>
    <n v="7764"/>
    <n v="27990"/>
    <n v="2719"/>
    <n v="1.587"/>
    <n v="1.5609999999999999"/>
    <n v="1.538"/>
    <n v="1.466"/>
    <n v="21105"/>
    <s v="07-18"/>
    <s v="29/01/2025"/>
    <n v="0.91"/>
    <n v="0.93700000000000006"/>
    <n v="1.587"/>
    <n v="29"/>
    <x v="0"/>
    <x v="4"/>
    <x v="0"/>
    <n v="555.44999999999993"/>
    <n v="546.35"/>
    <n v="538.30000000000007"/>
    <n v="513.1"/>
    <n v="555.44999999999993"/>
    <n v="0.92"/>
    <x v="0"/>
    <n v="542.32500000000005"/>
    <n v="1.5495000000000001"/>
  </r>
  <r>
    <n v="62256"/>
    <n v="23764"/>
    <n v="7769"/>
    <n v="28003"/>
    <n v="2719"/>
    <n v="1.587"/>
    <n v="1.5609999999999999"/>
    <n v="1.538"/>
    <n v="1.466"/>
    <n v="21117"/>
    <s v="07-29"/>
    <s v="30/01/2025"/>
    <n v="0.96"/>
    <n v="1.19"/>
    <n v="1.587"/>
    <n v="30"/>
    <x v="0"/>
    <x v="4"/>
    <x v="0"/>
    <n v="555.44999999999993"/>
    <n v="546.35"/>
    <n v="538.30000000000007"/>
    <n v="513.1"/>
    <n v="555.44999999999993"/>
    <n v="0.92"/>
    <x v="0"/>
    <n v="542.32500000000005"/>
    <n v="1.5495000000000001"/>
  </r>
  <r>
    <n v="62286"/>
    <n v="23777"/>
    <n v="7775"/>
    <n v="28014"/>
    <n v="2719"/>
    <n v="1.587"/>
    <n v="1.5609999999999999"/>
    <n v="1.538"/>
    <n v="1.466"/>
    <n v="21126"/>
    <s v="07-14"/>
    <s v="31/01/2025"/>
    <n v="0.96"/>
    <n v="1.0920000000000001"/>
    <n v="1.587"/>
    <n v="31"/>
    <x v="0"/>
    <x v="4"/>
    <x v="0"/>
    <n v="555.44999999999993"/>
    <n v="546.35"/>
    <n v="538.30000000000007"/>
    <n v="513.1"/>
    <n v="555.44999999999993"/>
    <n v="0.92"/>
    <x v="0"/>
    <n v="542.32500000000005"/>
    <n v="1.5495000000000001"/>
  </r>
  <r>
    <n v="6218"/>
    <n v="23791"/>
    <n v="7780"/>
    <n v="28027"/>
    <n v="2724"/>
    <n v="0"/>
    <n v="0"/>
    <n v="1.335"/>
    <n v="0"/>
    <n v="21131"/>
    <s v="07-22"/>
    <d v="2025-01-02T00:00:00"/>
    <n v="0.96"/>
    <n v="1.248"/>
    <n v="1.335"/>
    <n v="2"/>
    <x v="0"/>
    <x v="0"/>
    <x v="0"/>
    <n v="0"/>
    <n v="0"/>
    <n v="467.25"/>
    <n v="0"/>
    <n v="467.25"/>
    <n v="0.92"/>
    <x v="0"/>
    <n v="0"/>
    <n v="0"/>
  </r>
  <r>
    <n v="62349"/>
    <n v="23791"/>
    <n v="7780"/>
    <n v="28053"/>
    <n v="2724"/>
    <n v="0"/>
    <n v="0"/>
    <n v="1.4910000000000001"/>
    <n v="1.409"/>
    <n v="21147"/>
    <s v="07-19"/>
    <d v="2025-02-02T00:00:00"/>
    <n v="0.91"/>
    <n v="1.2050000000000001"/>
    <n v="1.4910000000000001"/>
    <n v="2"/>
    <x v="1"/>
    <x v="5"/>
    <x v="1"/>
    <n v="0"/>
    <n v="0"/>
    <n v="521.85"/>
    <n v="493.15000000000003"/>
    <n v="521.85"/>
    <n v="0.92"/>
    <x v="0"/>
    <n v="246.57500000000002"/>
    <n v="0.70450000000000002"/>
  </r>
  <r>
    <n v="62379"/>
    <n v="23791"/>
    <n v="7780"/>
    <n v="28077"/>
    <n v="2729"/>
    <n v="1.131"/>
    <n v="0"/>
    <n v="1.5389999999999999"/>
    <n v="1.61"/>
    <n v="21158"/>
    <s v="08-16"/>
    <d v="2025-03-02T00:00:00"/>
    <n v="0.93"/>
    <n v="1.238"/>
    <n v="1.61"/>
    <n v="2"/>
    <x v="2"/>
    <x v="6"/>
    <x v="2"/>
    <n v="395.85"/>
    <n v="0"/>
    <n v="538.65"/>
    <n v="563.5"/>
    <n v="563.5"/>
    <n v="0.92"/>
    <x v="0"/>
    <n v="467.25"/>
    <n v="1.335"/>
  </r>
  <r>
    <n v="62409"/>
    <n v="23805"/>
    <n v="7785"/>
    <n v="28088"/>
    <n v="2729"/>
    <n v="1.55"/>
    <n v="1.4390000000000001"/>
    <n v="1.5389999999999999"/>
    <n v="1.61"/>
    <n v="21168"/>
    <s v="07-05"/>
    <d v="2025-04-02T00:00:00"/>
    <n v="0.96"/>
    <n v="1.2050000000000001"/>
    <n v="1.61"/>
    <n v="2"/>
    <x v="3"/>
    <x v="7"/>
    <x v="3"/>
    <n v="542.5"/>
    <n v="503.65000000000003"/>
    <n v="538.65"/>
    <n v="563.5"/>
    <n v="563.5"/>
    <n v="0.92"/>
    <x v="0"/>
    <n v="540.57500000000005"/>
    <n v="1.5445000000000002"/>
  </r>
  <r>
    <n v="62458"/>
    <n v="23818"/>
    <n v="7791"/>
    <n v="28098"/>
    <n v="2729"/>
    <n v="1.583"/>
    <n v="1.4"/>
    <n v="1.5389999999999999"/>
    <n v="1.61"/>
    <n v="21178"/>
    <s v="13-15"/>
    <d v="2025-05-02T00:00:00"/>
    <n v="0.95"/>
    <n v="1.157"/>
    <n v="1.61"/>
    <n v="2"/>
    <x v="4"/>
    <x v="8"/>
    <x v="4"/>
    <n v="554.04999999999995"/>
    <n v="489.99999999999994"/>
    <n v="538.65"/>
    <n v="563.5"/>
    <n v="563.5"/>
    <n v="0.94"/>
    <x v="0"/>
    <n v="546.34999999999991"/>
    <n v="1.5609999999999997"/>
  </r>
  <r>
    <n v="62467"/>
    <n v="23828"/>
    <n v="7796"/>
    <n v="28112"/>
    <n v="2729"/>
    <n v="1.625"/>
    <n v="1.5109999999999999"/>
    <n v="1.5389999999999999"/>
    <n v="1.61"/>
    <n v="21188"/>
    <s v="07-15"/>
    <d v="2025-06-02T00:00:00"/>
    <n v="0.93"/>
    <n v="1.1619999999999999"/>
    <n v="1.625"/>
    <n v="2"/>
    <x v="5"/>
    <x v="9"/>
    <x v="5"/>
    <n v="568.75"/>
    <n v="528.84999999999991"/>
    <n v="538.65"/>
    <n v="563.5"/>
    <n v="568.75"/>
    <n v="0.94"/>
    <x v="0"/>
    <n v="551.07500000000005"/>
    <n v="1.5745000000000002"/>
  </r>
  <r>
    <n v="62498"/>
    <n v="23842"/>
    <n v="7801"/>
    <n v="28125"/>
    <n v="2729"/>
    <n v="1.625"/>
    <n v="1.5109999999999999"/>
    <n v="1.5109999999999999"/>
    <n v="1.61"/>
    <n v="21200"/>
    <s v="07-50"/>
    <d v="2025-07-02T00:00:00"/>
    <n v="0.95"/>
    <n v="1.21"/>
    <n v="1.625"/>
    <n v="2"/>
    <x v="6"/>
    <x v="10"/>
    <x v="6"/>
    <n v="568.75"/>
    <n v="528.84999999999991"/>
    <n v="528.84999999999991"/>
    <n v="563.5"/>
    <n v="568.75"/>
    <n v="0.94"/>
    <x v="0"/>
    <n v="546.17499999999995"/>
    <n v="1.5604999999999998"/>
  </r>
  <r>
    <n v="62530"/>
    <n v="23855"/>
    <n v="7806"/>
    <n v="28139"/>
    <n v="2729"/>
    <n v="1.625"/>
    <n v="1.5109999999999999"/>
    <n v="1.5389999999999999"/>
    <n v="1.61"/>
    <n v="21211"/>
    <s v="09-40"/>
    <d v="2025-08-02T00:00:00"/>
    <n v="0.98"/>
    <n v="1.1830000000000001"/>
    <n v="1.625"/>
    <n v="2"/>
    <x v="7"/>
    <x v="11"/>
    <x v="7"/>
    <n v="568.75"/>
    <n v="528.84999999999991"/>
    <n v="538.65"/>
    <n v="563.5"/>
    <n v="568.75"/>
    <n v="0.94"/>
    <x v="0"/>
    <n v="551.07500000000005"/>
    <n v="1.5745000000000002"/>
  </r>
  <r>
    <n v="62560"/>
    <n v="23855"/>
    <n v="7806"/>
    <n v="28163"/>
    <n v="2734"/>
    <n v="1.625"/>
    <n v="1.5109999999999999"/>
    <n v="1.5389999999999999"/>
    <n v="1.61"/>
    <n v="21221"/>
    <s v="10-03"/>
    <d v="2025-09-02T00:00:00"/>
    <n v="0.95"/>
    <n v="1.157"/>
    <n v="1.625"/>
    <n v="2"/>
    <x v="8"/>
    <x v="12"/>
    <x v="8"/>
    <n v="568.75"/>
    <n v="528.84999999999991"/>
    <n v="538.65"/>
    <n v="563.5"/>
    <n v="568.75"/>
    <n v="0.94"/>
    <x v="0"/>
    <n v="551.07500000000005"/>
    <n v="1.5745000000000002"/>
  </r>
  <r>
    <n v="62589"/>
    <n v="23857"/>
    <n v="7806"/>
    <n v="28188"/>
    <n v="2739"/>
    <n v="1.625"/>
    <n v="1.5109999999999999"/>
    <n v="1.5389999999999999"/>
    <n v="1.61"/>
    <n v="21231"/>
    <s v="10-02"/>
    <d v="2025-10-02T00:00:00"/>
    <n v="0.93"/>
    <n v="1.0469999999999999"/>
    <n v="1.625"/>
    <n v="2"/>
    <x v="9"/>
    <x v="13"/>
    <x v="9"/>
    <n v="568.75"/>
    <n v="528.84999999999991"/>
    <n v="538.65"/>
    <n v="563.5"/>
    <n v="568.75"/>
    <n v="0.94"/>
    <x v="0"/>
    <n v="551.07500000000005"/>
    <n v="1.5745000000000002"/>
  </r>
  <r>
    <n v="62620"/>
    <n v="23871"/>
    <n v="7811"/>
    <n v="28197"/>
    <n v="2739"/>
    <n v="1.625"/>
    <n v="0.95299999999999996"/>
    <n v="1.5389999999999999"/>
    <n v="1.61"/>
    <n v="21242"/>
    <s v="10-00"/>
    <d v="2025-11-02T00:00:00"/>
    <n v="0.95"/>
    <n v="1.32"/>
    <n v="1.625"/>
    <n v="2"/>
    <x v="10"/>
    <x v="14"/>
    <x v="10"/>
    <n v="568.75"/>
    <n v="333.55"/>
    <n v="538.65"/>
    <n v="563.5"/>
    <n v="568.75"/>
    <n v="0.94"/>
    <x v="0"/>
    <n v="551.07500000000005"/>
    <n v="1.5745000000000002"/>
  </r>
  <r>
    <n v="62645"/>
    <n v="23881"/>
    <n v="7816"/>
    <n v="28208"/>
    <n v="2739"/>
    <n v="1.625"/>
    <n v="0.95299999999999996"/>
    <n v="1.5389999999999999"/>
    <n v="1.61"/>
    <n v="21250"/>
    <s v="07-10"/>
    <d v="2025-12-02T00:00:00"/>
    <n v="0.96"/>
    <n v="1.0649999999999999"/>
    <n v="1.625"/>
    <n v="2"/>
    <x v="11"/>
    <x v="15"/>
    <x v="11"/>
    <n v="568.75"/>
    <n v="333.55"/>
    <n v="538.65"/>
    <n v="563.5"/>
    <n v="568.75"/>
    <n v="0.94"/>
    <x v="0"/>
    <n v="551.07500000000005"/>
    <n v="1.5745000000000002"/>
  </r>
  <r>
    <n v="62675"/>
    <n v="23893"/>
    <n v="7821"/>
    <n v="28220"/>
    <n v="2739"/>
    <n v="1.625"/>
    <n v="1.014"/>
    <n v="1.5389999999999999"/>
    <n v="1.61"/>
    <n v="21261"/>
    <s v="07-15"/>
    <s v="13/02/2025"/>
    <n v="0.95"/>
    <n v="1.1679999999999999"/>
    <n v="1.625"/>
    <n v="13"/>
    <x v="1"/>
    <x v="16"/>
    <x v="1"/>
    <n v="568.75"/>
    <n v="354.9"/>
    <n v="538.65"/>
    <n v="563.5"/>
    <n v="568.75"/>
    <n v="0.92"/>
    <x v="0"/>
    <n v="551.07500000000005"/>
    <n v="1.5745000000000002"/>
  </r>
  <r>
    <n v="62706"/>
    <n v="23907"/>
    <n v="7826"/>
    <n v="28232"/>
    <n v="2739"/>
    <n v="1.625"/>
    <n v="1.014"/>
    <n v="1.5389999999999999"/>
    <n v="1.61"/>
    <n v="21271"/>
    <s v="07-10"/>
    <s v="14/02/2025"/>
    <n v="0.94"/>
    <n v="1.0449999999999999"/>
    <n v="1.625"/>
    <n v="14"/>
    <x v="1"/>
    <x v="16"/>
    <x v="1"/>
    <n v="568.75"/>
    <n v="354.9"/>
    <n v="538.65"/>
    <n v="563.5"/>
    <n v="568.75"/>
    <n v="0.92"/>
    <x v="0"/>
    <n v="551.07500000000005"/>
    <n v="1.5745000000000002"/>
  </r>
  <r>
    <n v="62736"/>
    <n v="23920"/>
    <n v="7831"/>
    <n v="28244"/>
    <n v="2739"/>
    <n v="1.625"/>
    <n v="1.04"/>
    <n v="1.5389999999999999"/>
    <n v="1.61"/>
    <n v="21282"/>
    <s v="07-25"/>
    <s v="15/02/2025"/>
    <n v="0.94"/>
    <n v="1.1180000000000001"/>
    <n v="1.625"/>
    <n v="15"/>
    <x v="1"/>
    <x v="16"/>
    <x v="1"/>
    <n v="568.75"/>
    <n v="364"/>
    <n v="538.65"/>
    <n v="563.5"/>
    <n v="568.75"/>
    <n v="0.92"/>
    <x v="0"/>
    <n v="551.07500000000005"/>
    <n v="1.5745000000000002"/>
  </r>
  <r>
    <n v="62767"/>
    <n v="23920"/>
    <n v="7831"/>
    <n v="28270"/>
    <n v="2744"/>
    <n v="1.625"/>
    <n v="1.04"/>
    <n v="1.546"/>
    <n v="1.61"/>
    <n v="21293"/>
    <s v="07-12"/>
    <s v="16/02/2025"/>
    <n v="0.94"/>
    <n v="1.1319999999999999"/>
    <n v="1.625"/>
    <n v="16"/>
    <x v="1"/>
    <x v="17"/>
    <x v="1"/>
    <n v="568.75"/>
    <n v="364"/>
    <n v="541.1"/>
    <n v="563.5"/>
    <n v="568.75"/>
    <n v="0.92"/>
    <x v="0"/>
    <n v="552.29999999999995"/>
    <n v="1.5779999999999998"/>
  </r>
  <r>
    <n v="62809"/>
    <n v="23928"/>
    <n v="7831"/>
    <n v="28286"/>
    <n v="2744"/>
    <n v="1.625"/>
    <n v="1.04"/>
    <n v="1.546"/>
    <n v="1.61"/>
    <n v="21300"/>
    <s v="08-30"/>
    <s v="17/02/2025"/>
    <n v="0.94"/>
    <n v="1.1479999999999999"/>
    <n v="1.625"/>
    <n v="17"/>
    <x v="1"/>
    <x v="17"/>
    <x v="1"/>
    <n v="568.75"/>
    <n v="364"/>
    <n v="541.1"/>
    <n v="563.5"/>
    <n v="568.75"/>
    <n v="0.92"/>
    <x v="0"/>
    <n v="552.29999999999995"/>
    <n v="1.5779999999999998"/>
  </r>
  <r>
    <n v="62824"/>
    <n v="23932"/>
    <n v="7836"/>
    <n v="28305"/>
    <n v="2749"/>
    <n v="1.625"/>
    <n v="1.04"/>
    <n v="1.546"/>
    <n v="1.61"/>
    <n v="31312"/>
    <s v="07-17"/>
    <s v="18/02/2025"/>
    <n v="0.95"/>
    <n v="1.0309999999999999"/>
    <n v="1.625"/>
    <n v="18"/>
    <x v="1"/>
    <x v="17"/>
    <x v="1"/>
    <n v="568.75"/>
    <n v="364"/>
    <n v="541.1"/>
    <n v="563.5"/>
    <n v="568.75"/>
    <n v="0.92"/>
    <x v="0"/>
    <n v="552.29999999999995"/>
    <n v="1.5779999999999998"/>
  </r>
  <r>
    <n v="62853"/>
    <n v="23945"/>
    <n v="7841"/>
    <n v="28306"/>
    <n v="2749"/>
    <n v="1.625"/>
    <n v="1.04"/>
    <n v="1.546"/>
    <n v="1.61"/>
    <n v="31323"/>
    <s v="07-00"/>
    <s v="19/02/2025"/>
    <n v="0.94"/>
    <n v="11.26"/>
    <n v="1.625"/>
    <n v="19"/>
    <x v="1"/>
    <x v="17"/>
    <x v="1"/>
    <n v="568.75"/>
    <n v="364"/>
    <n v="541.1"/>
    <n v="563.5"/>
    <n v="568.75"/>
    <n v="0.92"/>
    <x v="0"/>
    <n v="552.29999999999995"/>
    <n v="1.5779999999999998"/>
  </r>
  <r>
    <n v="62883"/>
    <n v="23958"/>
    <n v="7846"/>
    <n v="28328"/>
    <n v="2749"/>
    <n v="1.625"/>
    <n v="1.0489999999999999"/>
    <n v="1.546"/>
    <n v="1.61"/>
    <n v="3133"/>
    <s v="07-12"/>
    <s v="20/02/2025"/>
    <n v="0.92"/>
    <n v="1.165"/>
    <n v="1.625"/>
    <n v="20"/>
    <x v="1"/>
    <x v="17"/>
    <x v="1"/>
    <n v="568.75"/>
    <n v="367.15"/>
    <n v="541.1"/>
    <n v="563.5"/>
    <n v="568.75"/>
    <n v="0.92"/>
    <x v="0"/>
    <n v="552.29999999999995"/>
    <n v="1.5779999999999998"/>
  </r>
  <r>
    <n v="62913"/>
    <n v="23970"/>
    <n v="7851"/>
    <n v="28341"/>
    <n v="2749"/>
    <n v="1.625"/>
    <n v="1.137"/>
    <n v="1.546"/>
    <n v="1.61"/>
    <n v="21344"/>
    <s v="07-30"/>
    <s v="21/02/2025"/>
    <n v="0.92"/>
    <n v="1.3009999999999999"/>
    <n v="1.625"/>
    <n v="21"/>
    <x v="1"/>
    <x v="17"/>
    <x v="1"/>
    <n v="568.75"/>
    <n v="397.95"/>
    <n v="541.1"/>
    <n v="563.5"/>
    <n v="568.75"/>
    <n v="0.92"/>
    <x v="0"/>
    <n v="552.29999999999995"/>
    <n v="1.5779999999999998"/>
  </r>
  <r>
    <n v="62943"/>
    <n v="23984"/>
    <n v="7856"/>
    <n v="28353"/>
    <n v="2749"/>
    <n v="1.625"/>
    <n v="1.149"/>
    <n v="1.546"/>
    <n v="1.61"/>
    <n v="21356"/>
    <s v="07-39"/>
    <s v="22/02/2025"/>
    <n v="0.93"/>
    <n v="1.4370000000000001"/>
    <n v="1.625"/>
    <n v="22"/>
    <x v="1"/>
    <x v="17"/>
    <x v="1"/>
    <n v="568.75"/>
    <n v="402.15000000000003"/>
    <n v="541.1"/>
    <n v="563.5"/>
    <n v="568.75"/>
    <n v="0.92"/>
    <x v="0"/>
    <n v="552.29999999999995"/>
    <n v="1.5779999999999998"/>
  </r>
  <r>
    <n v="62968"/>
    <n v="23986"/>
    <n v="7856"/>
    <n v="28385"/>
    <n v="2749"/>
    <n v="1.625"/>
    <n v="1.149"/>
    <n v="1.546"/>
    <n v="1.61"/>
    <n v="21460"/>
    <s v="10-48"/>
    <s v="23/02/2025"/>
    <n v="0.93"/>
    <n v="1.04"/>
    <n v="1.625"/>
    <n v="23"/>
    <x v="1"/>
    <x v="18"/>
    <x v="1"/>
    <n v="568.75"/>
    <n v="402.15000000000003"/>
    <n v="541.1"/>
    <n v="563.5"/>
    <n v="568.75"/>
    <n v="0.92"/>
    <x v="0"/>
    <n v="552.29999999999995"/>
    <n v="1.5779999999999998"/>
  </r>
  <r>
    <n v="63006"/>
    <n v="23989"/>
    <n v="7856"/>
    <n v="28401"/>
    <n v="2759"/>
    <n v="1.625"/>
    <n v="1.3879999999999999"/>
    <n v="1.546"/>
    <n v="1.61"/>
    <n v="21380"/>
    <s v="12-11"/>
    <s v="24/02/2025"/>
    <n v="0.94"/>
    <n v="1.3879999999999999"/>
    <n v="1.625"/>
    <n v="24"/>
    <x v="1"/>
    <x v="18"/>
    <x v="1"/>
    <n v="568.75"/>
    <n v="485.79999999999995"/>
    <n v="541.1"/>
    <n v="563.5"/>
    <n v="568.75"/>
    <n v="0.92"/>
    <x v="0"/>
    <n v="552.29999999999995"/>
    <n v="1.5779999999999998"/>
  </r>
  <r>
    <n v="63034"/>
    <n v="24000"/>
    <n v="7862"/>
    <n v="28413"/>
    <n v="2759"/>
    <n v="1.625"/>
    <n v="1.3879999999999999"/>
    <n v="1.546"/>
    <n v="1.61"/>
    <n v="21390"/>
    <s v="10-30"/>
    <s v="25/02/2025"/>
    <n v="0.95"/>
    <n v="1.248"/>
    <n v="1.625"/>
    <n v="25"/>
    <x v="1"/>
    <x v="18"/>
    <x v="1"/>
    <n v="568.75"/>
    <n v="485.79999999999995"/>
    <n v="541.1"/>
    <n v="563.5"/>
    <n v="568.75"/>
    <n v="0.92"/>
    <x v="0"/>
    <n v="552.29999999999995"/>
    <n v="1.5779999999999998"/>
  </r>
  <r>
    <n v="63061"/>
    <n v="24010"/>
    <n v="7867"/>
    <n v="28424"/>
    <n v="2759"/>
    <n v="1.625"/>
    <n v="1.3879999999999999"/>
    <n v="1.546"/>
    <n v="1.61"/>
    <n v="21400"/>
    <s v="07-47"/>
    <s v="26/02/2025"/>
    <n v="0.94"/>
    <n v="1.1259999999999999"/>
    <n v="1.625"/>
    <n v="26"/>
    <x v="1"/>
    <x v="18"/>
    <x v="1"/>
    <n v="568.75"/>
    <n v="485.79999999999995"/>
    <n v="541.1"/>
    <n v="563.5"/>
    <n v="568.75"/>
    <n v="0.92"/>
    <x v="0"/>
    <n v="552.29999999999995"/>
    <n v="1.5779999999999998"/>
  </r>
  <r>
    <n v="63091"/>
    <n v="24023"/>
    <n v="7872"/>
    <n v="28436"/>
    <n v="2759"/>
    <n v="1.625"/>
    <n v="1.3879999999999999"/>
    <n v="1.546"/>
    <n v="1.61"/>
    <n v="21411"/>
    <s v="07-48"/>
    <s v="27/02/2025"/>
    <n v="0.95"/>
    <n v="1.1879999999999999"/>
    <n v="1.625"/>
    <n v="27"/>
    <x v="1"/>
    <x v="18"/>
    <x v="1"/>
    <n v="568.75"/>
    <n v="485.79999999999995"/>
    <n v="541.1"/>
    <n v="563.5"/>
    <n v="568.75"/>
    <n v="0.92"/>
    <x v="0"/>
    <n v="552.29999999999995"/>
    <n v="1.5779999999999998"/>
  </r>
  <r>
    <n v="63121"/>
    <n v="24036"/>
    <n v="7877"/>
    <n v="28448"/>
    <n v="2759"/>
    <n v="1.625"/>
    <n v="1.3879999999999999"/>
    <n v="1.446"/>
    <n v="1.61"/>
    <n v="21421"/>
    <s v="07-24"/>
    <s v="28/02/2025"/>
    <n v="0.93"/>
    <n v="1.1040000000000001"/>
    <n v="1.625"/>
    <n v="28"/>
    <x v="1"/>
    <x v="18"/>
    <x v="1"/>
    <n v="568.75"/>
    <n v="485.79999999999995"/>
    <n v="506.09999999999997"/>
    <n v="563.5"/>
    <n v="568.75"/>
    <n v="0.92"/>
    <x v="0"/>
    <n v="534.79999999999995"/>
    <n v="1.5279999999999998"/>
  </r>
  <r>
    <n v="53150"/>
    <n v="24048"/>
    <n v="7882"/>
    <n v="28460"/>
    <n v="2759"/>
    <n v="0"/>
    <n v="0"/>
    <n v="1.3740000000000001"/>
    <n v="0"/>
    <n v="21432"/>
    <s v="07-17"/>
    <d v="2025-01-03T00:00:00"/>
    <n v="0.93"/>
    <n v="1.153"/>
    <n v="1.3740000000000001"/>
    <n v="3"/>
    <x v="0"/>
    <x v="0"/>
    <x v="0"/>
    <n v="0"/>
    <n v="0"/>
    <n v="480.90000000000003"/>
    <n v="0"/>
    <n v="480.90000000000003"/>
    <n v="0.92"/>
    <x v="0"/>
    <n v="0"/>
    <n v="0"/>
  </r>
  <r>
    <n v="63181"/>
    <n v="24048"/>
    <n v="7882"/>
    <n v="28485"/>
    <n v="2764"/>
    <n v="0"/>
    <n v="0"/>
    <n v="1.5129999999999999"/>
    <n v="1.4610000000000001"/>
    <n v="21443"/>
    <s v="07-08"/>
    <d v="2025-02-03T00:00:00"/>
    <n v="0.94"/>
    <n v="1.339"/>
    <n v="1.5129999999999999"/>
    <n v="3"/>
    <x v="1"/>
    <x v="5"/>
    <x v="1"/>
    <n v="0"/>
    <n v="0"/>
    <n v="529.54999999999995"/>
    <n v="511.35"/>
    <n v="529.54999999999995"/>
    <n v="0.92"/>
    <x v="0"/>
    <n v="255.67500000000001"/>
    <n v="0.73050000000000004"/>
  </r>
  <r>
    <n v="63214"/>
    <n v="24051"/>
    <n v="7882"/>
    <n v="28511"/>
    <n v="2769"/>
    <n v="1.113"/>
    <n v="0"/>
    <n v="1.5129999999999999"/>
    <n v="1.5029999999999999"/>
    <n v="21457"/>
    <s v="09-36"/>
    <d v="2025-03-03T00:00:00"/>
    <n v="0.9"/>
    <n v="1.214"/>
    <n v="1.5129999999999999"/>
    <n v="3"/>
    <x v="2"/>
    <x v="6"/>
    <x v="2"/>
    <n v="389.55"/>
    <n v="0"/>
    <n v="529.54999999999995"/>
    <n v="526.04999999999995"/>
    <n v="529.54999999999995"/>
    <n v="0.92"/>
    <x v="0"/>
    <n v="457.79999999999995"/>
    <n v="1.3079999999999998"/>
  </r>
  <r>
    <n v="63240"/>
    <n v="24061"/>
    <n v="7887"/>
    <n v="28522"/>
    <n v="2769"/>
    <n v="1.5409999999999999"/>
    <n v="1.2869999999999999"/>
    <n v="1.5129999999999999"/>
    <n v="1.5029999999999999"/>
    <n v="21468"/>
    <s v="07-08"/>
    <d v="2025-04-03T00:00:00"/>
    <n v="0.95"/>
    <n v="1.1759999999999999"/>
    <n v="1.5409999999999999"/>
    <n v="3"/>
    <x v="3"/>
    <x v="7"/>
    <x v="3"/>
    <n v="539.35"/>
    <n v="450.45"/>
    <n v="529.54999999999995"/>
    <n v="526.04999999999995"/>
    <n v="539.35"/>
    <n v="0.92"/>
    <x v="0"/>
    <n v="527.79999999999995"/>
    <n v="1.5079999999999998"/>
  </r>
  <r>
    <n v="63279"/>
    <n v="24082"/>
    <n v="7892"/>
    <n v="28535"/>
    <n v="2769"/>
    <n v="1.5409999999999999"/>
    <n v="1.379"/>
    <n v="1.5129999999999999"/>
    <n v="1.5029999999999999"/>
    <n v="21982"/>
    <s v="15-13"/>
    <d v="2025-05-03T00:00:00"/>
    <n v="0.96"/>
    <n v="1.2869999999999999"/>
    <n v="1.5409999999999999"/>
    <n v="3"/>
    <x v="4"/>
    <x v="8"/>
    <x v="4"/>
    <n v="539.35"/>
    <n v="482.65"/>
    <n v="529.54999999999995"/>
    <n v="526.04999999999995"/>
    <n v="539.35"/>
    <n v="0.94"/>
    <x v="0"/>
    <n v="527.79999999999995"/>
    <n v="1.5079999999999998"/>
  </r>
  <r>
    <n v="63299"/>
    <n v="24086"/>
    <n v="7896"/>
    <n v="28546"/>
    <n v="2769"/>
    <n v="1.5409999999999999"/>
    <n v="1.579"/>
    <n v="1.573"/>
    <n v="1.5029999999999999"/>
    <n v="21489"/>
    <s v="07-30"/>
    <d v="2025-06-03T00:00:00"/>
    <n v="0.93"/>
    <n v="1.0740000000000001"/>
    <n v="1.579"/>
    <n v="3"/>
    <x v="5"/>
    <x v="9"/>
    <x v="5"/>
    <n v="539.35"/>
    <n v="552.65"/>
    <n v="550.54999999999995"/>
    <n v="526.04999999999995"/>
    <n v="552.65"/>
    <n v="0.94"/>
    <x v="0"/>
    <n v="544.95000000000005"/>
    <n v="1.5570000000000002"/>
  </r>
  <r>
    <n v="63330"/>
    <n v="24099"/>
    <n v="7902"/>
    <n v="28559"/>
    <n v="2769"/>
    <n v="1.5409999999999999"/>
    <n v="1.4239999999999999"/>
    <n v="1.573"/>
    <n v="1.5029999999999999"/>
    <n v="21500"/>
    <s v="07-30"/>
    <d v="2025-07-03T00:00:00"/>
    <n v="0.94"/>
    <n v="1.37"/>
    <n v="1.573"/>
    <n v="3"/>
    <x v="6"/>
    <x v="10"/>
    <x v="6"/>
    <n v="539.35"/>
    <n v="498.4"/>
    <n v="550.54999999999995"/>
    <n v="526.04999999999995"/>
    <n v="550.54999999999995"/>
    <n v="0.94"/>
    <x v="0"/>
    <n v="532.70000000000005"/>
    <n v="1.522"/>
  </r>
  <r>
    <n v="63362"/>
    <n v="24113"/>
    <n v="7907"/>
    <n v="28571"/>
    <n v="2769"/>
    <n v="1.5409999999999999"/>
    <n v="1.4410000000000001"/>
    <n v="1.5129999999999999"/>
    <n v="1.5029999999999999"/>
    <n v="21512"/>
    <s v="07-30"/>
    <d v="2025-08-03T00:00:00"/>
    <n v="0.92"/>
    <n v="1.3819999999999999"/>
    <n v="1.5409999999999999"/>
    <n v="3"/>
    <x v="7"/>
    <x v="19"/>
    <x v="7"/>
    <n v="539.35"/>
    <n v="504.35"/>
    <n v="529.54999999999995"/>
    <n v="526.04999999999995"/>
    <n v="539.35"/>
    <n v="0.94"/>
    <x v="0"/>
    <n v="527.79999999999995"/>
    <n v="1.5079999999999998"/>
  </r>
  <r>
    <n v="63393"/>
    <n v="24113"/>
    <n v="7907"/>
    <n v="28598"/>
    <n v="2774"/>
    <n v="1.5409999999999999"/>
    <n v="1.4410000000000001"/>
    <n v="1.5129999999999999"/>
    <n v="1.5029999999999999"/>
    <n v="21524"/>
    <s v="08-25"/>
    <d v="2025-09-03T00:00:00"/>
    <n v="0.94"/>
    <n v="1.157"/>
    <n v="1.5409999999999999"/>
    <n v="3"/>
    <x v="8"/>
    <x v="12"/>
    <x v="8"/>
    <n v="539.35"/>
    <n v="504.35"/>
    <n v="529.54999999999995"/>
    <n v="526.04999999999995"/>
    <n v="539.35"/>
    <n v="0.94"/>
    <x v="0"/>
    <n v="527.79999999999995"/>
    <n v="1.5079999999999998"/>
  </r>
  <r>
    <n v="63428"/>
    <n v="24116"/>
    <n v="7907"/>
    <n v="28624"/>
    <n v="2779"/>
    <n v="1.5409999999999999"/>
    <n v="1.4410000000000001"/>
    <n v="1.5129999999999999"/>
    <n v="1.5029999999999999"/>
    <n v="21537"/>
    <s v="10-03"/>
    <d v="2025-10-03T00:00:00"/>
    <n v="0.93"/>
    <n v="1.335"/>
    <n v="1.5409999999999999"/>
    <n v="3"/>
    <x v="9"/>
    <x v="13"/>
    <x v="9"/>
    <n v="539.35"/>
    <n v="504.35"/>
    <n v="529.54999999999995"/>
    <n v="526.04999999999995"/>
    <n v="539.35"/>
    <n v="0.94"/>
    <x v="0"/>
    <n v="527.79999999999995"/>
    <n v="1.5079999999999998"/>
  </r>
  <r>
    <n v="63455"/>
    <n v="24127"/>
    <n v="7912"/>
    <n v="28636"/>
    <n v="2779"/>
    <n v="1.5409999999999999"/>
    <n v="1.4410000000000001"/>
    <n v="1.5129999999999999"/>
    <n v="1.5029999999999999"/>
    <n v="21548"/>
    <s v="05-32"/>
    <d v="2025-11-03T00:00:00"/>
    <n v="0.93"/>
    <n v="1.1779999999999999"/>
    <n v="1.5409999999999999"/>
    <n v="3"/>
    <x v="10"/>
    <x v="14"/>
    <x v="10"/>
    <n v="539.35"/>
    <n v="504.35"/>
    <n v="529.54999999999995"/>
    <n v="526.04999999999995"/>
    <n v="539.35"/>
    <n v="0.94"/>
    <x v="0"/>
    <n v="527.79999999999995"/>
    <n v="1.5079999999999998"/>
  </r>
  <r>
    <n v="63485"/>
    <n v="24139"/>
    <n v="7917"/>
    <n v="28647"/>
    <n v="2779"/>
    <n v="1.5409999999999999"/>
    <n v="1.456"/>
    <n v="1.5129999999999999"/>
    <n v="1.5029999999999999"/>
    <n v="21559"/>
    <s v="07-15"/>
    <d v="2025-12-03T00:00:00"/>
    <n v="0.94"/>
    <n v="1.0289999999999999"/>
    <n v="1.5409999999999999"/>
    <n v="3"/>
    <x v="11"/>
    <x v="15"/>
    <x v="11"/>
    <n v="539.35"/>
    <n v="509.59999999999997"/>
    <n v="529.54999999999995"/>
    <n v="526.04999999999995"/>
    <n v="539.35"/>
    <n v="0.94"/>
    <x v="0"/>
    <n v="527.79999999999995"/>
    <n v="1.5079999999999998"/>
  </r>
  <r>
    <n v="63516"/>
    <n v="24153"/>
    <n v="7922"/>
    <n v="28660"/>
    <n v="2779"/>
    <n v="1.5409999999999999"/>
    <n v="1.456"/>
    <n v="1.5129999999999999"/>
    <n v="1.5029999999999999"/>
    <n v="21570"/>
    <s v="07-32"/>
    <s v="13/03/2025"/>
    <n v="0.94"/>
    <n v="1.4710000000000001"/>
    <n v="1.5409999999999999"/>
    <n v="13"/>
    <x v="2"/>
    <x v="20"/>
    <x v="2"/>
    <n v="539.35"/>
    <n v="509.59999999999997"/>
    <n v="529.54999999999995"/>
    <n v="526.04999999999995"/>
    <n v="539.35"/>
    <n v="0.92"/>
    <x v="0"/>
    <n v="527.79999999999995"/>
    <n v="1.5079999999999998"/>
  </r>
  <r>
    <n v="63547"/>
    <n v="24166"/>
    <n v="7928"/>
    <n v="28672"/>
    <n v="2779"/>
    <n v="1.5409999999999999"/>
    <n v="1.456"/>
    <n v="1.5129999999999999"/>
    <n v="1.5029999999999999"/>
    <n v="21582"/>
    <s v="07-35"/>
    <s v="14/03/2025"/>
    <n v="0.94"/>
    <n v="1.47"/>
    <n v="1.5409999999999999"/>
    <n v="14"/>
    <x v="2"/>
    <x v="20"/>
    <x v="2"/>
    <n v="539.35"/>
    <n v="509.59999999999997"/>
    <n v="529.54999999999995"/>
    <n v="526.04999999999995"/>
    <n v="539.35"/>
    <n v="0.92"/>
    <x v="0"/>
    <n v="527.79999999999995"/>
    <n v="1.5079999999999998"/>
  </r>
  <r>
    <n v="63579"/>
    <n v="24180"/>
    <n v="7933"/>
    <n v="28682"/>
    <n v="2779"/>
    <n v="1.5409999999999999"/>
    <n v="1.5509999999999999"/>
    <n v="1.5129999999999999"/>
    <n v="1.5029999999999999"/>
    <n v="21594"/>
    <s v="07-20"/>
    <s v="15/03/2025"/>
    <n v="0.91"/>
    <n v="1.2350000000000001"/>
    <n v="1.5509999999999999"/>
    <n v="15"/>
    <x v="2"/>
    <x v="20"/>
    <x v="2"/>
    <n v="539.35"/>
    <n v="542.85"/>
    <n v="529.54999999999995"/>
    <n v="526.04999999999995"/>
    <n v="542.85"/>
    <n v="0.92"/>
    <x v="0"/>
    <n v="534.45000000000005"/>
    <n v="1.5270000000000001"/>
  </r>
  <r>
    <n v="63611"/>
    <n v="24180"/>
    <n v="7933"/>
    <n v="28712"/>
    <n v="2785"/>
    <n v="1.5409999999999999"/>
    <n v="1.5509999999999999"/>
    <n v="1.615"/>
    <n v="1.5029999999999999"/>
    <n v="21606"/>
    <s v="07-20"/>
    <s v="16/03/2025"/>
    <n v="0.92"/>
    <n v="1.1659999999999999"/>
    <n v="1.615"/>
    <n v="16"/>
    <x v="2"/>
    <x v="21"/>
    <x v="2"/>
    <n v="539.35"/>
    <n v="542.85"/>
    <n v="565.25"/>
    <n v="526.04999999999995"/>
    <n v="565.25"/>
    <n v="0.92"/>
    <x v="0"/>
    <n v="541.1"/>
    <n v="1.546"/>
  </r>
  <r>
    <n v="63692"/>
    <n v="24180"/>
    <n v="7933"/>
    <n v="28738"/>
    <n v="2790"/>
    <n v="1.5409999999999999"/>
    <n v="1.5509999999999999"/>
    <n v="1.615"/>
    <n v="1.5029999999999999"/>
    <n v="21618"/>
    <s v="07-26"/>
    <s v="17/03/2025"/>
    <n v="0.94"/>
    <n v="1.1439999999999999"/>
    <n v="1.615"/>
    <n v="17"/>
    <x v="2"/>
    <x v="21"/>
    <x v="2"/>
    <n v="539.35"/>
    <n v="542.85"/>
    <n v="565.25"/>
    <n v="526.04999999999995"/>
    <n v="565.25"/>
    <n v="0.92"/>
    <x v="0"/>
    <n v="541.1"/>
    <n v="1.546"/>
  </r>
  <r>
    <n v="63673"/>
    <n v="24193"/>
    <n v="7938"/>
    <n v="28750"/>
    <n v="2790"/>
    <n v="1.5409999999999999"/>
    <n v="1.5509999999999999"/>
    <n v="1.615"/>
    <n v="1.5029999999999999"/>
    <n v="21629"/>
    <s v="07-15"/>
    <s v="18/03/2025"/>
    <n v="0.93"/>
    <n v="1.216"/>
    <n v="1.615"/>
    <n v="18"/>
    <x v="2"/>
    <x v="21"/>
    <x v="2"/>
    <n v="539.35"/>
    <n v="542.85"/>
    <n v="565.25"/>
    <n v="526.04999999999995"/>
    <n v="565.25"/>
    <n v="0.92"/>
    <x v="0"/>
    <n v="541.1"/>
    <n v="1.546"/>
  </r>
  <r>
    <n v="63705"/>
    <n v="24207"/>
    <n v="7944"/>
    <n v="28762"/>
    <n v="2790"/>
    <n v="1.569"/>
    <n v="1.5509999999999999"/>
    <n v="1.615"/>
    <n v="1.5029999999999999"/>
    <n v="21641"/>
    <s v="07-10"/>
    <s v="19/03/2025"/>
    <n v="0.92"/>
    <n v="1.2669999999999999"/>
    <n v="1.615"/>
    <n v="19"/>
    <x v="2"/>
    <x v="21"/>
    <x v="2"/>
    <n v="549.15"/>
    <n v="542.85"/>
    <n v="565.25"/>
    <n v="526.04999999999995"/>
    <n v="565.25"/>
    <n v="0.92"/>
    <x v="0"/>
    <n v="546"/>
    <n v="1.56"/>
  </r>
  <r>
    <n v="63736"/>
    <n v="24221"/>
    <n v="7949"/>
    <n v="28775"/>
    <n v="2790"/>
    <n v="1.569"/>
    <n v="1.554"/>
    <n v="1.615"/>
    <n v="1.5029999999999999"/>
    <n v="21653"/>
    <s v="06-56"/>
    <s v="20/03/2025"/>
    <n v="0.91"/>
    <n v="1.367"/>
    <n v="1.615"/>
    <n v="20"/>
    <x v="2"/>
    <x v="21"/>
    <x v="2"/>
    <n v="549.15"/>
    <n v="543.9"/>
    <n v="565.25"/>
    <n v="526.04999999999995"/>
    <n v="565.25"/>
    <n v="0.92"/>
    <x v="0"/>
    <n v="546.52499999999998"/>
    <n v="1.5614999999999999"/>
  </r>
  <r>
    <n v="63768"/>
    <n v="24234"/>
    <n v="7954"/>
    <n v="28788"/>
    <n v="2790"/>
    <n v="1.569"/>
    <n v="1.5509999999999999"/>
    <n v="1.615"/>
    <n v="1.5029999999999999"/>
    <n v="21666"/>
    <s v="07-10"/>
    <s v="21/03/2025"/>
    <n v="0.92"/>
    <n v="1.3320000000000001"/>
    <n v="1.615"/>
    <n v="21"/>
    <x v="2"/>
    <x v="21"/>
    <x v="2"/>
    <n v="549.15"/>
    <n v="542.85"/>
    <n v="565.25"/>
    <n v="526.04999999999995"/>
    <n v="565.25"/>
    <n v="0.92"/>
    <x v="0"/>
    <n v="546"/>
    <n v="1.56"/>
  </r>
  <r>
    <n v="63800"/>
    <n v="24248"/>
    <n v="7960"/>
    <n v="28801"/>
    <n v="2790"/>
    <n v="1.569"/>
    <n v="1.5509999999999999"/>
    <n v="1.615"/>
    <n v="1.5029999999999999"/>
    <n v="21670"/>
    <s v="07-15"/>
    <s v="22/03/2025"/>
    <n v="0.93"/>
    <n v="1.2350000000000001"/>
    <n v="1.615"/>
    <n v="22"/>
    <x v="2"/>
    <x v="21"/>
    <x v="2"/>
    <n v="549.15"/>
    <n v="542.85"/>
    <n v="565.25"/>
    <n v="526.04999999999995"/>
    <n v="565.25"/>
    <n v="0.92"/>
    <x v="0"/>
    <n v="546"/>
    <n v="1.56"/>
  </r>
  <r>
    <n v="63831"/>
    <n v="24248"/>
    <n v="7960"/>
    <n v="28827"/>
    <n v="2795"/>
    <n v="1.569"/>
    <n v="1.5509999999999999"/>
    <n v="1.615"/>
    <n v="1.5029999999999999"/>
    <n v="21690"/>
    <s v="07-18"/>
    <s v="23/03/2025"/>
    <n v="0.92"/>
    <n v="1.107"/>
    <n v="1.615"/>
    <n v="23"/>
    <x v="2"/>
    <x v="22"/>
    <x v="2"/>
    <n v="549.15"/>
    <n v="542.85"/>
    <n v="565.25"/>
    <n v="526.04999999999995"/>
    <n v="565.25"/>
    <n v="0.92"/>
    <x v="0"/>
    <n v="546"/>
    <n v="1.56"/>
  </r>
  <r>
    <n v="63860"/>
    <n v="24249"/>
    <n v="7960"/>
    <n v="28854"/>
    <n v="2801"/>
    <n v="1.569"/>
    <n v="1.5509999999999999"/>
    <n v="1.615"/>
    <n v="1.5029999999999999"/>
    <n v="21703"/>
    <s v="08-33"/>
    <s v="24/03/2025"/>
    <n v="0.92"/>
    <n v="1.262"/>
    <n v="1.615"/>
    <n v="24"/>
    <x v="2"/>
    <x v="22"/>
    <x v="2"/>
    <n v="549.15"/>
    <n v="542.85"/>
    <n v="565.25"/>
    <n v="526.04999999999995"/>
    <n v="565.25"/>
    <n v="0.92"/>
    <x v="0"/>
    <n v="546"/>
    <n v="1.56"/>
  </r>
  <r>
    <n v="63894"/>
    <n v="24261"/>
    <n v="7965"/>
    <n v="28866"/>
    <n v="2801"/>
    <n v="1.569"/>
    <n v="1.5509999999999999"/>
    <n v="1.615"/>
    <n v="1.5029999999999999"/>
    <n v="21714"/>
    <s v="07-12"/>
    <s v="25/03/2025"/>
    <n v="0.92"/>
    <n v="1.2569999999999999"/>
    <n v="1.615"/>
    <n v="25"/>
    <x v="2"/>
    <x v="22"/>
    <x v="2"/>
    <n v="549.15"/>
    <n v="542.85"/>
    <n v="565.25"/>
    <n v="526.04999999999995"/>
    <n v="565.25"/>
    <n v="0.92"/>
    <x v="0"/>
    <n v="546"/>
    <n v="1.56"/>
  </r>
  <r>
    <n v="63926"/>
    <n v="24275"/>
    <n v="7970"/>
    <n v="28879"/>
    <n v="2801"/>
    <n v="1.569"/>
    <n v="1.5509999999999999"/>
    <n v="1.615"/>
    <n v="1.5029999999999999"/>
    <n v="21728"/>
    <s v="07-51"/>
    <s v="26/03/2025"/>
    <n v="0.89"/>
    <n v="1.212"/>
    <n v="1.615"/>
    <n v="26"/>
    <x v="2"/>
    <x v="22"/>
    <x v="2"/>
    <n v="549.15"/>
    <n v="542.85"/>
    <n v="565.25"/>
    <n v="526.04999999999995"/>
    <n v="565.25"/>
    <n v="0.92"/>
    <x v="0"/>
    <n v="546"/>
    <n v="1.56"/>
  </r>
  <r>
    <n v="63956"/>
    <n v="24288"/>
    <n v="7976"/>
    <n v="28890"/>
    <n v="2801"/>
    <n v="1.569"/>
    <n v="1.5509999999999999"/>
    <n v="1.615"/>
    <n v="1.5029999999999999"/>
    <n v="21792"/>
    <s v="07-17"/>
    <s v="27/03/2025"/>
    <n v="0.9"/>
    <n v="1.1160000000000001"/>
    <n v="1.615"/>
    <n v="27"/>
    <x v="2"/>
    <x v="22"/>
    <x v="2"/>
    <n v="549.15"/>
    <n v="542.85"/>
    <n v="565.25"/>
    <n v="526.04999999999995"/>
    <n v="565.25"/>
    <n v="0.92"/>
    <x v="0"/>
    <n v="546"/>
    <n v="1.56"/>
  </r>
  <r>
    <n v="63987"/>
    <n v="24301"/>
    <n v="7981"/>
    <n v="28903"/>
    <n v="2801"/>
    <n v="1.569"/>
    <n v="1.5509999999999999"/>
    <n v="1.615"/>
    <n v="1.5029999999999999"/>
    <n v="21754"/>
    <s v="07-30"/>
    <s v="28/03/2025"/>
    <n v="0.95"/>
    <n v="1.1579999999999999"/>
    <n v="1.615"/>
    <n v="28"/>
    <x v="2"/>
    <x v="22"/>
    <x v="2"/>
    <n v="549.15"/>
    <n v="542.85"/>
    <n v="565.25"/>
    <n v="526.04999999999995"/>
    <n v="565.25"/>
    <n v="0.92"/>
    <x v="0"/>
    <n v="546"/>
    <n v="1.56"/>
  </r>
  <r>
    <n v="64012"/>
    <n v="24309"/>
    <n v="7983"/>
    <n v="28929"/>
    <n v="2806"/>
    <n v="1.569"/>
    <n v="1.5509999999999999"/>
    <n v="1.615"/>
    <n v="1.5029999999999999"/>
    <n v="21779"/>
    <s v="07-15"/>
    <s v="29/03/2025"/>
    <n v="0.95"/>
    <n v="1.153"/>
    <n v="1.615"/>
    <n v="29"/>
    <x v="2"/>
    <x v="22"/>
    <x v="2"/>
    <n v="549.15"/>
    <n v="542.85"/>
    <n v="565.25"/>
    <n v="526.04999999999995"/>
    <n v="565.25"/>
    <n v="0.92"/>
    <x v="0"/>
    <n v="546"/>
    <n v="1.56"/>
  </r>
  <r>
    <n v="64003"/>
    <n v="24315"/>
    <n v="7986"/>
    <n v="28951"/>
    <n v="2806"/>
    <n v="1.569"/>
    <n v="1.5509999999999999"/>
    <n v="1.615"/>
    <n v="1.5029999999999999"/>
    <n v="21779"/>
    <s v="11-45"/>
    <s v="30/03/2025"/>
    <n v="0.95"/>
    <n v="1.153"/>
    <n v="1.615"/>
    <n v="30"/>
    <x v="2"/>
    <x v="7"/>
    <x v="2"/>
    <n v="549.15"/>
    <n v="542.85"/>
    <n v="565.25"/>
    <n v="526.04999999999995"/>
    <n v="565.25"/>
    <n v="0.92"/>
    <x v="0"/>
    <n v="546"/>
    <n v="1.56"/>
  </r>
  <r>
    <n v="64077"/>
    <n v="24315"/>
    <n v="7986"/>
    <n v="28964"/>
    <n v="2811"/>
    <n v="1.569"/>
    <n v="1.5509999999999999"/>
    <n v="1.615"/>
    <n v="1.5029999999999999"/>
    <n v="21785"/>
    <s v="07-41"/>
    <s v="31/03/2025"/>
    <n v="0.92"/>
    <n v="1.1719999999999999"/>
    <n v="1.615"/>
    <n v="31"/>
    <x v="2"/>
    <x v="7"/>
    <x v="2"/>
    <n v="549.15"/>
    <n v="542.85"/>
    <n v="565.25"/>
    <n v="526.04999999999995"/>
    <n v="565.25"/>
    <n v="0.92"/>
    <x v="0"/>
    <n v="546"/>
    <n v="1.56"/>
  </r>
  <r>
    <n v="64110"/>
    <n v="24330"/>
    <n v="7991"/>
    <n v="28976"/>
    <n v="2811"/>
    <n v="1.353"/>
    <n v="0"/>
    <n v="1.381"/>
    <n v="0"/>
    <n v="21797"/>
    <s v="09-55"/>
    <d v="2025-01-04T00:00:00"/>
    <n v="0.93"/>
    <n v="1.331"/>
    <n v="1.381"/>
    <n v="4"/>
    <x v="0"/>
    <x v="0"/>
    <x v="0"/>
    <n v="473.55"/>
    <n v="0"/>
    <n v="483.35"/>
    <n v="0"/>
    <n v="483.35"/>
    <n v="0.92"/>
    <x v="0"/>
    <n v="236.77500000000001"/>
    <n v="0.67649999999999999"/>
  </r>
  <r>
    <n v="64141"/>
    <n v="24344"/>
    <n v="7996"/>
    <n v="28988"/>
    <n v="2811"/>
    <n v="1.4630000000000001"/>
    <n v="1.39"/>
    <n v="1.3859999999999999"/>
    <n v="0"/>
    <n v="21808"/>
    <s v="10-32"/>
    <d v="2025-02-04T00:00:00"/>
    <n v="0.64"/>
    <n v="1.5"/>
    <n v="1.4630000000000001"/>
    <n v="4"/>
    <x v="1"/>
    <x v="5"/>
    <x v="1"/>
    <n v="512.05000000000007"/>
    <n v="486.49999999999994"/>
    <n v="485.09999999999997"/>
    <n v="0"/>
    <n v="512.05000000000007"/>
    <n v="0.92"/>
    <x v="0"/>
    <n v="485.79999999999995"/>
    <n v="1.3879999999999999"/>
  </r>
  <r>
    <n v="64167"/>
    <n v="24354"/>
    <n v="8001"/>
    <n v="29000"/>
    <n v="2811"/>
    <n v="1.486"/>
    <n v="1.393"/>
    <n v="1.3859999999999999"/>
    <n v="0"/>
    <n v="21816"/>
    <s v="07-42"/>
    <d v="2025-03-04T00:00:00"/>
    <n v="0.94"/>
    <n v="1.1859999999999999"/>
    <n v="1.486"/>
    <n v="4"/>
    <x v="2"/>
    <x v="6"/>
    <x v="2"/>
    <n v="520.1"/>
    <n v="487.55"/>
    <n v="485.09999999999997"/>
    <n v="0"/>
    <n v="520.1"/>
    <n v="0.92"/>
    <x v="0"/>
    <n v="486.32499999999999"/>
    <n v="1.3895"/>
  </r>
  <r>
    <n v="64197"/>
    <n v="24367"/>
    <n v="8007"/>
    <n v="29011"/>
    <n v="2811"/>
    <n v="1.5009999999999999"/>
    <n v="1.4910000000000001"/>
    <n v="1.3859999999999999"/>
    <n v="0"/>
    <n v="21825"/>
    <s v="06-56"/>
    <d v="2025-04-04T00:00:00"/>
    <n v="0.94"/>
    <n v="1.3440000000000001"/>
    <n v="1.5009999999999999"/>
    <n v="4"/>
    <x v="3"/>
    <x v="7"/>
    <x v="3"/>
    <n v="525.34999999999991"/>
    <n v="521.85"/>
    <n v="485.09999999999997"/>
    <n v="0"/>
    <n v="525.34999999999991"/>
    <n v="0.92"/>
    <x v="0"/>
    <n v="503.47500000000002"/>
    <n v="1.4385000000000001"/>
  </r>
  <r>
    <n v="64230"/>
    <n v="24381"/>
    <n v="8012"/>
    <n v="29026"/>
    <n v="2811"/>
    <n v="1.5009999999999999"/>
    <n v="1.4910000000000001"/>
    <n v="1.4079999999999999"/>
    <n v="0"/>
    <n v="21836"/>
    <s v="08-54"/>
    <d v="2025-05-04T00:00:00"/>
    <n v="0.94"/>
    <n v="1.21"/>
    <n v="1.5009999999999999"/>
    <n v="4"/>
    <x v="4"/>
    <x v="23"/>
    <x v="4"/>
    <n v="525.34999999999991"/>
    <n v="521.85"/>
    <n v="492.79999999999995"/>
    <n v="0"/>
    <n v="525.34999999999991"/>
    <n v="0.94"/>
    <x v="0"/>
    <n v="507.32499999999999"/>
    <n v="1.4495"/>
  </r>
  <r>
    <n v="64261"/>
    <n v="24381"/>
    <n v="8012"/>
    <n v="29051"/>
    <n v="2816"/>
    <n v="1.5009999999999999"/>
    <n v="1.4910000000000001"/>
    <n v="1.5049999999999999"/>
    <n v="1.45"/>
    <n v="21845"/>
    <s v="09-06"/>
    <d v="2025-06-04T00:00:00"/>
    <n v="0.95"/>
    <n v="1.26"/>
    <n v="1.5049999999999999"/>
    <n v="4"/>
    <x v="5"/>
    <x v="9"/>
    <x v="5"/>
    <n v="525.34999999999991"/>
    <n v="521.85"/>
    <n v="526.75"/>
    <n v="507.5"/>
    <n v="526.75"/>
    <n v="0.94"/>
    <x v="0"/>
    <n v="523.59999999999991"/>
    <n v="1.4959999999999998"/>
  </r>
  <r>
    <n v="64287"/>
    <n v="24381"/>
    <n v="8012"/>
    <n v="29073"/>
    <n v="2820"/>
    <n v="1.5009999999999999"/>
    <n v="1.4910000000000001"/>
    <n v="1.508"/>
    <n v="1.45"/>
    <n v="21852"/>
    <s v="07-04"/>
    <d v="2025-07-04T00:00:00"/>
    <n v="0.96"/>
    <n v="1.056"/>
    <n v="1.508"/>
    <n v="4"/>
    <x v="6"/>
    <x v="10"/>
    <x v="6"/>
    <n v="525.34999999999991"/>
    <n v="521.85"/>
    <n v="527.79999999999995"/>
    <n v="507.5"/>
    <n v="527.79999999999995"/>
    <n v="0.94"/>
    <x v="0"/>
    <n v="523.59999999999991"/>
    <n v="1.4959999999999998"/>
  </r>
  <r>
    <n v="64321"/>
    <n v="24397"/>
    <n v="8017"/>
    <n v="29086"/>
    <n v="2820"/>
    <n v="1.5009999999999999"/>
    <n v="1.4910000000000001"/>
    <n v="1.508"/>
    <n v="1.45"/>
    <n v="21861"/>
    <s v="10-59"/>
    <d v="2025-08-04T00:00:00"/>
    <n v="0.95"/>
    <n v="1.448"/>
    <n v="1.508"/>
    <n v="4"/>
    <x v="7"/>
    <x v="19"/>
    <x v="7"/>
    <n v="525.34999999999991"/>
    <n v="521.85"/>
    <n v="527.79999999999995"/>
    <n v="507.5"/>
    <n v="527.79999999999995"/>
    <n v="0.94"/>
    <x v="0"/>
    <n v="523.59999999999991"/>
    <n v="1.4959999999999998"/>
  </r>
  <r>
    <n v="64346"/>
    <n v="24406"/>
    <n v="8022"/>
    <n v="29096"/>
    <n v="2820"/>
    <n v="1.5009999999999999"/>
    <n v="1.4910000000000001"/>
    <n v="1.508"/>
    <n v="1.45"/>
    <n v="21868"/>
    <s v="07-15"/>
    <d v="2025-09-04T00:00:00"/>
    <n v="0.96"/>
    <n v="1.706"/>
    <n v="1.508"/>
    <n v="4"/>
    <x v="8"/>
    <x v="12"/>
    <x v="8"/>
    <n v="525.34999999999991"/>
    <n v="521.85"/>
    <n v="527.79999999999995"/>
    <n v="507.5"/>
    <n v="527.79999999999995"/>
    <n v="0.94"/>
    <x v="0"/>
    <n v="523.59999999999991"/>
    <n v="1.4959999999999998"/>
  </r>
  <r>
    <n v="64376"/>
    <n v="24419"/>
    <n v="8027"/>
    <n v="29108"/>
    <n v="2820"/>
    <n v="1.5009999999999999"/>
    <n v="1.4910000000000001"/>
    <n v="1.508"/>
    <n v="1.45"/>
    <n v="21877"/>
    <s v="07-41"/>
    <d v="2025-10-04T00:00:00"/>
    <n v="0.94"/>
    <n v="1.1970000000000001"/>
    <n v="1.508"/>
    <n v="4"/>
    <x v="9"/>
    <x v="13"/>
    <x v="9"/>
    <n v="525.34999999999991"/>
    <n v="521.85"/>
    <n v="527.79999999999995"/>
    <n v="507.5"/>
    <n v="527.79999999999995"/>
    <n v="0.94"/>
    <x v="0"/>
    <n v="523.59999999999991"/>
    <n v="1.4959999999999998"/>
  </r>
  <r>
    <n v="64409"/>
    <n v="24435"/>
    <n v="8032"/>
    <n v="29120"/>
    <n v="2820"/>
    <n v="1.5009999999999999"/>
    <n v="1.4910000000000001"/>
    <n v="1.508"/>
    <n v="1.45"/>
    <n v="21886"/>
    <s v="11-00"/>
    <d v="2025-11-04T00:00:00"/>
    <n v="0.96"/>
    <n v="1.3420000000000001"/>
    <n v="1.508"/>
    <n v="4"/>
    <x v="10"/>
    <x v="14"/>
    <x v="10"/>
    <n v="525.34999999999991"/>
    <n v="521.85"/>
    <n v="527.79999999999995"/>
    <n v="507.5"/>
    <n v="527.79999999999995"/>
    <n v="0.94"/>
    <x v="0"/>
    <n v="523.59999999999991"/>
    <n v="1.4959999999999998"/>
  </r>
  <r>
    <n v="64432"/>
    <n v="24443"/>
    <n v="8036"/>
    <n v="29131"/>
    <n v="2820"/>
    <n v="1.5009999999999999"/>
    <n v="1.4910000000000001"/>
    <n v="1.508"/>
    <n v="1.45"/>
    <n v="21892"/>
    <s v="07-28"/>
    <d v="2025-12-04T00:00:00"/>
    <n v="0.96"/>
    <n v="1.069"/>
    <n v="1.508"/>
    <n v="4"/>
    <x v="11"/>
    <x v="15"/>
    <x v="11"/>
    <n v="525.34999999999991"/>
    <n v="521.85"/>
    <n v="527.79999999999995"/>
    <n v="507.5"/>
    <n v="527.79999999999995"/>
    <n v="0.94"/>
    <x v="0"/>
    <n v="523.59999999999991"/>
    <n v="1.4959999999999998"/>
  </r>
  <r>
    <n v="64450"/>
    <n v="24444"/>
    <n v="8036"/>
    <n v="29150"/>
    <n v="2825"/>
    <n v="1.5009999999999999"/>
    <n v="1.4910000000000001"/>
    <n v="1.508"/>
    <n v="1.45"/>
    <n v="21900"/>
    <s v="08-00"/>
    <s v="13/04/2025"/>
    <n v="0.96"/>
    <n v="1.1559999999999999"/>
    <n v="1.508"/>
    <n v="13"/>
    <x v="3"/>
    <x v="24"/>
    <x v="3"/>
    <n v="525.34999999999991"/>
    <n v="521.85"/>
    <n v="527.79999999999995"/>
    <n v="507.5"/>
    <n v="527.79999999999995"/>
    <n v="0.92"/>
    <x v="0"/>
    <n v="523.59999999999991"/>
    <n v="1.4959999999999998"/>
  </r>
  <r>
    <n v="64491"/>
    <n v="24445"/>
    <n v="8036"/>
    <n v="29178"/>
    <n v="2830"/>
    <n v="1.5009999999999999"/>
    <n v="1.4910000000000001"/>
    <n v="1.508"/>
    <n v="1.45"/>
    <n v="21909"/>
    <s v="09-34"/>
    <s v="14/04/2025"/>
    <n v="0.96"/>
    <n v="1.157"/>
    <n v="1.508"/>
    <n v="14"/>
    <x v="3"/>
    <x v="24"/>
    <x v="3"/>
    <n v="525.34999999999991"/>
    <n v="521.85"/>
    <n v="527.79999999999995"/>
    <n v="507.5"/>
    <n v="527.79999999999995"/>
    <n v="0.92"/>
    <x v="0"/>
    <n v="523.59999999999991"/>
    <n v="1.4959999999999998"/>
  </r>
  <r>
    <n v="69518"/>
    <n v="24455"/>
    <n v="8041"/>
    <n v="29190"/>
    <n v="2830"/>
    <n v="1.5009999999999999"/>
    <n v="1.5009999999999999"/>
    <n v="1.508"/>
    <n v="1.45"/>
    <n v="21916"/>
    <s v="08-16"/>
    <s v="15/04/2025"/>
    <n v="0.96"/>
    <n v="1.0309999999999999"/>
    <n v="1.508"/>
    <n v="15"/>
    <x v="3"/>
    <x v="24"/>
    <x v="3"/>
    <n v="525.34999999999991"/>
    <n v="525.34999999999991"/>
    <n v="527.79999999999995"/>
    <n v="507.5"/>
    <n v="527.79999999999995"/>
    <n v="0.92"/>
    <x v="0"/>
    <n v="525.34999999999991"/>
    <n v="1.5009999999999997"/>
  </r>
  <r>
    <n v="64545"/>
    <n v="24467"/>
    <n v="8046"/>
    <n v="29200"/>
    <n v="2830"/>
    <n v="1.5009999999999999"/>
    <n v="1.4910000000000001"/>
    <n v="1.508"/>
    <n v="1.45"/>
    <n v="21923"/>
    <s v="07-05"/>
    <s v="16/04/2025"/>
    <n v="0.96"/>
    <n v="0"/>
    <n v="1.508"/>
    <n v="16"/>
    <x v="3"/>
    <x v="24"/>
    <x v="3"/>
    <n v="525.34999999999991"/>
    <n v="521.85"/>
    <n v="527.79999999999995"/>
    <n v="507.5"/>
    <n v="527.79999999999995"/>
    <n v="0.92"/>
    <x v="0"/>
    <n v="523.59999999999991"/>
    <n v="1.4959999999999998"/>
  </r>
  <r>
    <n v="64580"/>
    <n v="24486"/>
    <n v="8051"/>
    <n v="29212"/>
    <n v="2830"/>
    <n v="1.5009999999999999"/>
    <n v="1.4910000000000001"/>
    <n v="1.508"/>
    <n v="1.45"/>
    <n v="21933"/>
    <s v="14-03"/>
    <s v="17/04/2025"/>
    <n v="0.94"/>
    <n v="1.214"/>
    <n v="1.508"/>
    <n v="17"/>
    <x v="3"/>
    <x v="24"/>
    <x v="3"/>
    <n v="525.34999999999991"/>
    <n v="521.85"/>
    <n v="527.79999999999995"/>
    <n v="507.5"/>
    <n v="527.79999999999995"/>
    <n v="0.92"/>
    <x v="0"/>
    <n v="523.59999999999991"/>
    <n v="1.4959999999999998"/>
  </r>
  <r>
    <n v="64603"/>
    <n v="24492"/>
    <n v="8056"/>
    <n v="29223"/>
    <n v="2830"/>
    <n v="1.5009999999999999"/>
    <n v="1.4910000000000001"/>
    <n v="1.508"/>
    <n v="1.45"/>
    <n v="21939"/>
    <s v="09-12"/>
    <s v="18/04/2025"/>
    <n v="0.96"/>
    <n v="1.06"/>
    <n v="1.508"/>
    <n v="18"/>
    <x v="3"/>
    <x v="24"/>
    <x v="3"/>
    <n v="525.34999999999991"/>
    <n v="521.85"/>
    <n v="527.79999999999995"/>
    <n v="507.5"/>
    <n v="527.79999999999995"/>
    <n v="0.92"/>
    <x v="0"/>
    <n v="523.59999999999991"/>
    <n v="1.4959999999999998"/>
  </r>
  <r>
    <n v="64631"/>
    <n v="24504"/>
    <n v="8061"/>
    <n v="29235"/>
    <n v="2830"/>
    <n v="1.5009999999999999"/>
    <n v="1.4910000000000001"/>
    <n v="1.508"/>
    <n v="1.45"/>
    <n v="21947"/>
    <s v="08-15"/>
    <s v="19/04/2025"/>
    <n v="0.94"/>
    <n v="1.2150000000000001"/>
    <n v="1.508"/>
    <n v="19"/>
    <x v="3"/>
    <x v="24"/>
    <x v="3"/>
    <n v="525.34999999999991"/>
    <n v="521.85"/>
    <n v="527.79999999999995"/>
    <n v="507.5"/>
    <n v="527.79999999999995"/>
    <n v="0.92"/>
    <x v="0"/>
    <n v="523.59999999999991"/>
    <n v="1.4959999999999998"/>
  </r>
  <r>
    <n v="64663"/>
    <n v="24504"/>
    <n v="8061"/>
    <n v="29262"/>
    <n v="2835"/>
    <n v="1.5009999999999999"/>
    <n v="1.4910000000000001"/>
    <n v="1.508"/>
    <n v="1.45"/>
    <n v="21957"/>
    <s v="10-22"/>
    <s v="20/04/2025"/>
    <n v="0.95"/>
    <n v="1.18"/>
    <n v="1.508"/>
    <n v="20"/>
    <x v="3"/>
    <x v="25"/>
    <x v="3"/>
    <n v="525.34999999999991"/>
    <n v="521.85"/>
    <n v="527.79999999999995"/>
    <n v="507.5"/>
    <n v="527.79999999999995"/>
    <n v="0.92"/>
    <x v="0"/>
    <n v="523.59999999999991"/>
    <n v="1.4959999999999998"/>
  </r>
  <r>
    <n v="64688"/>
    <n v="24504"/>
    <n v="8061"/>
    <n v="29283"/>
    <n v="2839"/>
    <n v="1.5009999999999999"/>
    <n v="1.4910000000000001"/>
    <n v="1.508"/>
    <n v="1.45"/>
    <n v="21964"/>
    <s v="07-36"/>
    <s v="21/04/2025"/>
    <n v="0.97"/>
    <n v="1.03"/>
    <n v="1.508"/>
    <n v="21"/>
    <x v="3"/>
    <x v="25"/>
    <x v="3"/>
    <n v="525.34999999999991"/>
    <n v="521.85"/>
    <n v="527.79999999999995"/>
    <n v="507.5"/>
    <n v="527.79999999999995"/>
    <n v="0.92"/>
    <x v="0"/>
    <n v="523.59999999999991"/>
    <n v="1.4959999999999998"/>
  </r>
  <r>
    <n v="64724"/>
    <n v="24522"/>
    <n v="8066"/>
    <n v="29293"/>
    <n v="2839"/>
    <n v="1.5009999999999999"/>
    <n v="1.4910000000000001"/>
    <n v="1.508"/>
    <n v="1.45"/>
    <n v="21974"/>
    <s v="13-00"/>
    <s v="22/04/2025"/>
    <n v="0.99"/>
    <n v="1.294"/>
    <n v="1.508"/>
    <n v="22"/>
    <x v="3"/>
    <x v="25"/>
    <x v="3"/>
    <n v="525.34999999999991"/>
    <n v="521.85"/>
    <n v="527.79999999999995"/>
    <n v="507.5"/>
    <n v="527.79999999999995"/>
    <n v="0.92"/>
    <x v="0"/>
    <n v="523.59999999999991"/>
    <n v="1.4959999999999998"/>
  </r>
  <r>
    <n v="64746"/>
    <n v="24529"/>
    <n v="8071"/>
    <n v="29306"/>
    <n v="2839"/>
    <n v="1.5009999999999999"/>
    <n v="1.4910000000000001"/>
    <n v="1.508"/>
    <n v="1.45"/>
    <n v="21980"/>
    <s v="07-23"/>
    <s v="23/04/2025"/>
    <n v="0.96"/>
    <n v="1.1819999999999999"/>
    <n v="1.508"/>
    <n v="23"/>
    <x v="3"/>
    <x v="25"/>
    <x v="3"/>
    <n v="525.34999999999991"/>
    <n v="521.85"/>
    <n v="527.79999999999995"/>
    <n v="507.5"/>
    <n v="527.79999999999995"/>
    <n v="0.92"/>
    <x v="0"/>
    <n v="523.59999999999991"/>
    <n v="1.4959999999999998"/>
  </r>
  <r>
    <n v="64776"/>
    <n v="24541"/>
    <n v="8076"/>
    <n v="29317"/>
    <n v="2839"/>
    <n v="1.5009999999999999"/>
    <n v="1.4910000000000001"/>
    <n v="1.508"/>
    <n v="1.54"/>
    <n v="21988"/>
    <s v="07-27"/>
    <s v="24/04/2025"/>
    <n v="0.96"/>
    <n v="1.135"/>
    <n v="1.54"/>
    <n v="24"/>
    <x v="3"/>
    <x v="25"/>
    <x v="3"/>
    <n v="525.34999999999991"/>
    <n v="521.85"/>
    <n v="527.79999999999995"/>
    <n v="539"/>
    <n v="539"/>
    <n v="0.92"/>
    <x v="0"/>
    <n v="526.57499999999993"/>
    <n v="1.5044999999999997"/>
  </r>
  <r>
    <n v="64805"/>
    <n v="24554"/>
    <n v="8081"/>
    <n v="29329"/>
    <n v="2839"/>
    <n v="1.5009999999999999"/>
    <n v="1.4910000000000001"/>
    <n v="1.508"/>
    <n v="1.45"/>
    <n v="21996"/>
    <s v="07-41"/>
    <s v="25/04/2025"/>
    <n v="0.97"/>
    <n v="9.5"/>
    <n v="1.508"/>
    <n v="25"/>
    <x v="3"/>
    <x v="25"/>
    <x v="3"/>
    <n v="525.34999999999991"/>
    <n v="521.85"/>
    <n v="527.79999999999995"/>
    <n v="507.5"/>
    <n v="527.79999999999995"/>
    <n v="0.92"/>
    <x v="0"/>
    <n v="523.59999999999991"/>
    <n v="1.4959999999999998"/>
  </r>
  <r>
    <n v="64835"/>
    <n v="24567"/>
    <n v="8086"/>
    <n v="29341"/>
    <n v="2839"/>
    <n v="1.5009999999999999"/>
    <n v="1.4910000000000001"/>
    <n v="1.508"/>
    <n v="1.54"/>
    <n v="22005"/>
    <s v="07-09"/>
    <s v="26/04/2025"/>
    <n v="0.95"/>
    <n v="1.3009999999999999"/>
    <n v="1.54"/>
    <n v="26"/>
    <x v="3"/>
    <x v="25"/>
    <x v="3"/>
    <n v="525.34999999999991"/>
    <n v="521.85"/>
    <n v="527.79999999999995"/>
    <n v="539"/>
    <n v="539"/>
    <n v="0.92"/>
    <x v="0"/>
    <n v="526.57499999999993"/>
    <n v="1.5044999999999997"/>
  </r>
  <r>
    <n v="64865"/>
    <n v="24567"/>
    <n v="8086"/>
    <n v="29365"/>
    <n v="2845"/>
    <n v="1.5009999999999999"/>
    <n v="1.4910000000000001"/>
    <n v="1.512"/>
    <n v="1.45"/>
    <n v="22014"/>
    <s v="09-36"/>
    <s v="27/04/2025"/>
    <n v="0.95"/>
    <n v="0"/>
    <n v="1.512"/>
    <n v="27"/>
    <x v="3"/>
    <x v="8"/>
    <x v="3"/>
    <n v="525.34999999999991"/>
    <n v="521.85"/>
    <n v="529.20000000000005"/>
    <n v="507.5"/>
    <n v="529.20000000000005"/>
    <n v="0.92"/>
    <x v="0"/>
    <n v="523.59999999999991"/>
    <n v="1.4959999999999998"/>
  </r>
  <r>
    <n v="64889"/>
    <n v="24567"/>
    <n v="8086"/>
    <n v="29384"/>
    <n v="2850"/>
    <n v="1.5009999999999999"/>
    <n v="1.4910000000000001"/>
    <n v="1.512"/>
    <n v="1.4570000000000001"/>
    <n v="22026"/>
    <s v="07-11"/>
    <s v="28/04/2025"/>
    <n v="0.87"/>
    <n v="1.26"/>
    <n v="1.512"/>
    <n v="28"/>
    <x v="3"/>
    <x v="8"/>
    <x v="3"/>
    <n v="525.34999999999991"/>
    <n v="521.85"/>
    <n v="529.20000000000005"/>
    <n v="509.95000000000005"/>
    <n v="529.20000000000005"/>
    <n v="0.92"/>
    <x v="0"/>
    <n v="523.59999999999991"/>
    <n v="1.4959999999999998"/>
  </r>
  <r>
    <n v="69922"/>
    <n v="24583"/>
    <n v="8091"/>
    <n v="29397"/>
    <n v="2850"/>
    <n v="1.5009999999999999"/>
    <n v="1.4910000000000001"/>
    <n v="1.512"/>
    <n v="1.4570000000000001"/>
    <n v="22038"/>
    <s v="10-08"/>
    <s v="29/04/2025"/>
    <n v="0.94"/>
    <n v="1.256"/>
    <n v="1.512"/>
    <n v="29"/>
    <x v="3"/>
    <x v="8"/>
    <x v="3"/>
    <n v="525.34999999999991"/>
    <n v="521.85"/>
    <n v="529.20000000000005"/>
    <n v="509.95000000000005"/>
    <n v="529.20000000000005"/>
    <n v="0.92"/>
    <x v="0"/>
    <n v="523.59999999999991"/>
    <n v="1.4959999999999998"/>
  </r>
  <r>
    <n v="64949"/>
    <n v="24593"/>
    <n v="8096"/>
    <n v="29409"/>
    <n v="2850"/>
    <n v="1.508"/>
    <n v="1.4910000000000001"/>
    <n v="1.512"/>
    <n v="1.4570000000000001"/>
    <n v="22045"/>
    <s v="07-30"/>
    <s v="30/04/2025"/>
    <n v="0.97"/>
    <n v="11.08"/>
    <n v="1.512"/>
    <n v="30"/>
    <x v="3"/>
    <x v="8"/>
    <x v="3"/>
    <n v="527.79999999999995"/>
    <n v="521.85"/>
    <n v="529.20000000000005"/>
    <n v="509.95000000000005"/>
    <n v="529.20000000000005"/>
    <n v="0.92"/>
    <x v="0"/>
    <n v="524.82500000000005"/>
    <n v="1.4995000000000001"/>
  </r>
  <r>
    <n v="64980"/>
    <n v="24006"/>
    <n v="8101"/>
    <n v="29421"/>
    <n v="2850"/>
    <n v="0"/>
    <n v="0"/>
    <n v="1.2749999999999999"/>
    <n v="0"/>
    <n v="22054"/>
    <s v="07-45"/>
    <d v="2025-01-12T00:00:00"/>
    <n v="0.96"/>
    <n v="1.165"/>
    <n v="1.2749999999999999"/>
    <n v="12"/>
    <x v="0"/>
    <x v="2"/>
    <x v="0"/>
    <n v="0"/>
    <n v="0"/>
    <n v="446.24999999999994"/>
    <n v="0"/>
    <n v="446.24999999999994"/>
    <n v="0.92"/>
    <x v="0"/>
    <n v="0"/>
    <n v="0"/>
  </r>
  <r>
    <n v="65005"/>
    <n v="24606"/>
    <n v="8101"/>
    <n v="29441"/>
    <n v="2854"/>
    <n v="0"/>
    <n v="0"/>
    <n v="1.306"/>
    <n v="1.159"/>
    <n v="22058"/>
    <s v="07-40"/>
    <d v="2025-01-12T00:00:00"/>
    <n v="0.99"/>
    <n v="0.85399999999999998"/>
    <n v="1.306"/>
    <n v="12"/>
    <x v="0"/>
    <x v="2"/>
    <x v="0"/>
    <n v="0"/>
    <n v="0"/>
    <n v="457.1"/>
    <n v="405.65000000000003"/>
    <n v="457.1"/>
    <n v="0.92"/>
    <x v="0"/>
    <n v="202.82500000000002"/>
    <n v="0.57950000000000002"/>
  </r>
  <r>
    <n v="65032"/>
    <n v="24617"/>
    <n v="8106"/>
    <n v="29452"/>
    <n v="2854"/>
    <n v="1.29"/>
    <n v="1.244"/>
    <n v="1.306"/>
    <n v="1.1539999999999999"/>
    <n v="22065"/>
    <s v="07-10"/>
    <d v="2025-01-13T00:00:00"/>
    <n v="0.97"/>
    <n v="1.0720000000000001"/>
    <n v="1.306"/>
    <n v="13"/>
    <x v="0"/>
    <x v="2"/>
    <x v="0"/>
    <n v="451.5"/>
    <n v="435.4"/>
    <n v="457.1"/>
    <n v="403.9"/>
    <n v="457.1"/>
    <n v="0.92"/>
    <x v="0"/>
    <n v="443.45"/>
    <n v="1.2669999999999999"/>
  </r>
  <r>
    <n v="65059"/>
    <n v="24617"/>
    <n v="8106"/>
    <n v="29475"/>
    <n v="2859"/>
    <n v="1.29"/>
    <n v="1.244"/>
    <n v="1.341"/>
    <n v="1.3069999999999999"/>
    <n v="22072"/>
    <s v="07-06"/>
    <d v="2025-01-14T00:00:00"/>
    <n v="0.95"/>
    <n v="1.069"/>
    <n v="1.341"/>
    <n v="14"/>
    <x v="0"/>
    <x v="2"/>
    <x v="0"/>
    <n v="451.5"/>
    <n v="435.4"/>
    <n v="469.34999999999997"/>
    <n v="457.45"/>
    <n v="469.34999999999997"/>
    <n v="0.92"/>
    <x v="0"/>
    <n v="454.47500000000002"/>
    <n v="1.2985"/>
  </r>
  <r>
    <n v="65087"/>
    <n v="24617"/>
    <n v="8106"/>
    <n v="29498"/>
    <n v="2864"/>
    <n v="1.29"/>
    <n v="1.244"/>
    <n v="1.341"/>
    <n v="1.3069999999999999"/>
    <n v="22079"/>
    <s v="07-17"/>
    <d v="2025-01-15T00:00:00"/>
    <n v="0.96"/>
    <n v="1.111"/>
    <n v="1.341"/>
    <n v="15"/>
    <x v="0"/>
    <x v="2"/>
    <x v="0"/>
    <n v="451.5"/>
    <n v="435.4"/>
    <n v="469.34999999999997"/>
    <n v="457.45"/>
    <n v="469.34999999999997"/>
    <n v="0.92"/>
    <x v="0"/>
    <n v="454.47500000000002"/>
    <n v="1.2985"/>
  </r>
  <r>
    <n v="65114"/>
    <n v="24629"/>
    <n v="8111"/>
    <n v="29509"/>
    <n v="2864"/>
    <n v="1.34"/>
    <n v="1.2809999999999999"/>
    <n v="1.341"/>
    <n v="1.3069999999999999"/>
    <n v="22085"/>
    <s v="07-05"/>
    <d v="2025-01-16T00:00:00"/>
    <n v="0.97"/>
    <n v="1.0149999999999999"/>
    <n v="1.341"/>
    <n v="16"/>
    <x v="0"/>
    <x v="2"/>
    <x v="0"/>
    <n v="469"/>
    <n v="448.34999999999997"/>
    <n v="469.34999999999997"/>
    <n v="457.45"/>
    <n v="469.34999999999997"/>
    <n v="0.92"/>
    <x v="0"/>
    <n v="463.22500000000002"/>
    <n v="1.3235000000000001"/>
  </r>
  <r>
    <n v="65743"/>
    <n v="24642"/>
    <n v="8116"/>
    <n v="29520"/>
    <n v="2864"/>
    <n v="1.3680000000000001"/>
    <n v="1.3120000000000001"/>
    <n v="1.341"/>
    <n v="1.45"/>
    <n v="22092"/>
    <s v="07-07"/>
    <d v="2025-01-17T00:00:00"/>
    <n v="0.96"/>
    <n v="1.1399999999999999"/>
    <n v="1.45"/>
    <n v="17"/>
    <x v="0"/>
    <x v="2"/>
    <x v="0"/>
    <n v="478.8"/>
    <n v="459.20000000000005"/>
    <n v="469.34999999999997"/>
    <n v="507.5"/>
    <n v="507.5"/>
    <n v="0.92"/>
    <x v="0"/>
    <n v="474.07499999999999"/>
    <n v="1.3545"/>
  </r>
  <r>
    <n v="65173"/>
    <n v="24655"/>
    <n v="8121"/>
    <n v="29533"/>
    <n v="2864"/>
    <n v="1.4330000000000001"/>
    <n v="1.3979999999999999"/>
    <n v="1.341"/>
    <n v="1.3069999999999999"/>
    <n v="22100"/>
    <s v="07-40"/>
    <d v="2025-01-18T00:00:00"/>
    <n v="0.97"/>
    <n v="1.1220000000000001"/>
    <n v="1.4330000000000001"/>
    <n v="18"/>
    <x v="0"/>
    <x v="2"/>
    <x v="0"/>
    <n v="501.55"/>
    <n v="489.29999999999995"/>
    <n v="469.34999999999997"/>
    <n v="457.45"/>
    <n v="501.55"/>
    <n v="0.92"/>
    <x v="0"/>
    <n v="479.32499999999993"/>
    <n v="1.3694999999999997"/>
  </r>
  <r>
    <n v="65203"/>
    <n v="24667"/>
    <n v="8126"/>
    <n v="29544"/>
    <n v="2864"/>
    <n v="1.4330000000000001"/>
    <n v="1.3979999999999999"/>
    <n v="1.341"/>
    <n v="1.3069999999999999"/>
    <n v="22108"/>
    <s v="07-30"/>
    <d v="2025-01-19T00:00:00"/>
    <n v="0.96"/>
    <n v="1.2929999999999999"/>
    <n v="1.4330000000000001"/>
    <n v="19"/>
    <x v="0"/>
    <x v="3"/>
    <x v="0"/>
    <n v="501.55"/>
    <n v="489.29999999999995"/>
    <n v="469.34999999999997"/>
    <n v="457.45"/>
    <n v="501.55"/>
    <n v="0.92"/>
    <x v="0"/>
    <n v="479.32499999999993"/>
    <n v="1.3694999999999997"/>
  </r>
  <r>
    <n v="65231"/>
    <n v="24680"/>
    <n v="8131"/>
    <n v="29555"/>
    <n v="2864"/>
    <n v="1.4330000000000001"/>
    <n v="1.3979999999999999"/>
    <n v="1.341"/>
    <n v="1.3069999999999999"/>
    <n v="22116"/>
    <s v="07-02"/>
    <d v="2025-01-20T00:00:00"/>
    <n v="0.96"/>
    <n v="1.23"/>
    <n v="1.4330000000000001"/>
    <n v="20"/>
    <x v="0"/>
    <x v="3"/>
    <x v="0"/>
    <n v="501.55"/>
    <n v="489.29999999999995"/>
    <n v="469.34999999999997"/>
    <n v="457.45"/>
    <n v="501.55"/>
    <n v="0.92"/>
    <x v="0"/>
    <n v="479.32499999999993"/>
    <n v="1.3694999999999997"/>
  </r>
  <r>
    <n v="65256"/>
    <n v="24680"/>
    <n v="8131"/>
    <n v="29557"/>
    <n v="2864"/>
    <n v="1.4330000000000001"/>
    <n v="1.3979999999999999"/>
    <n v="1.5629999999999999"/>
    <n v="1.3069999999999999"/>
    <n v="22122"/>
    <s v="10-15"/>
    <d v="2025-01-21T00:00:00"/>
    <n v="0.93"/>
    <n v="1.284"/>
    <n v="1.5629999999999999"/>
    <n v="21"/>
    <x v="0"/>
    <x v="3"/>
    <x v="0"/>
    <n v="501.55"/>
    <n v="489.29999999999995"/>
    <n v="547.04999999999995"/>
    <n v="457.45"/>
    <n v="547.04999999999995"/>
    <n v="0.92"/>
    <x v="0"/>
    <n v="495.42499999999995"/>
    <n v="1.4155"/>
  </r>
  <r>
    <n v="65285"/>
    <n v="24680"/>
    <n v="8131"/>
    <n v="29559"/>
    <n v="2873"/>
    <n v="1.4330000000000001"/>
    <n v="1.3979999999999999"/>
    <n v="1.5629999999999999"/>
    <n v="1.5149999999999999"/>
    <n v="22135"/>
    <s v="07-19"/>
    <d v="2025-01-22T00:00:00"/>
    <n v="0.9"/>
    <n v="1.274"/>
    <n v="1.5629999999999999"/>
    <n v="22"/>
    <x v="0"/>
    <x v="3"/>
    <x v="0"/>
    <n v="501.55"/>
    <n v="489.29999999999995"/>
    <n v="547.04999999999995"/>
    <n v="530.25"/>
    <n v="547.04999999999995"/>
    <n v="0.92"/>
    <x v="0"/>
    <n v="515.9"/>
    <n v="1.474"/>
  </r>
  <r>
    <n v="65303"/>
    <n v="24696"/>
    <n v="8141"/>
    <n v="29602"/>
    <n v="2873"/>
    <n v="1.446"/>
    <n v="1.4159999999999999"/>
    <n v="1.5629999999999999"/>
    <n v="1.5149999999999999"/>
    <n v="22149"/>
    <s v="07-16"/>
    <d v="2025-01-23T00:00:00"/>
    <n v="0.95"/>
    <n v="1.1879999999999999"/>
    <n v="1.5629999999999999"/>
    <n v="23"/>
    <x v="0"/>
    <x v="3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343"/>
    <n v="24708"/>
    <n v="8141"/>
    <n v="29621"/>
    <n v="2873"/>
    <n v="1.446"/>
    <n v="1.4159999999999999"/>
    <n v="1.5629999999999999"/>
    <n v="1.5149999999999999"/>
    <n v="22157"/>
    <s v="07-10"/>
    <d v="2025-01-24T00:00:00"/>
    <n v="0.96"/>
    <n v="1.169"/>
    <n v="1.5629999999999999"/>
    <n v="24"/>
    <x v="0"/>
    <x v="3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373"/>
    <n v="24718"/>
    <n v="8146"/>
    <n v="29634"/>
    <n v="2873"/>
    <n v="1.446"/>
    <n v="1.4159999999999999"/>
    <n v="1.5629999999999999"/>
    <n v="1.5149999999999999"/>
    <n v="22165"/>
    <s v="07-27"/>
    <d v="2025-01-25T00:00:00"/>
    <n v="0.97"/>
    <n v="1.0580000000000001"/>
    <n v="1.5629999999999999"/>
    <n v="25"/>
    <x v="0"/>
    <x v="3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402"/>
    <n v="24731"/>
    <n v="8150"/>
    <n v="29646"/>
    <n v="2873"/>
    <n v="1.446"/>
    <n v="1.4159999999999999"/>
    <n v="1.5629999999999999"/>
    <n v="1.5149999999999999"/>
    <n v="22173"/>
    <s v="07-20"/>
    <d v="2025-01-26T00:00:00"/>
    <n v="0.98"/>
    <n v="1.012"/>
    <n v="1.5629999999999999"/>
    <n v="26"/>
    <x v="0"/>
    <x v="4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432"/>
    <n v="24744"/>
    <n v="8156"/>
    <n v="29657"/>
    <n v="2873"/>
    <n v="1.446"/>
    <n v="1.4159999999999999"/>
    <n v="1.5629999999999999"/>
    <n v="1.5149999999999999"/>
    <n v="22180"/>
    <s v="07-20"/>
    <d v="2025-01-27T00:00:00"/>
    <n v="0.97"/>
    <n v="1.1719999999999999"/>
    <n v="1.5629999999999999"/>
    <n v="27"/>
    <x v="0"/>
    <x v="4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461"/>
    <n v="24744"/>
    <n v="8156"/>
    <n v="29682"/>
    <n v="2873"/>
    <n v="1.446"/>
    <n v="1.4159999999999999"/>
    <n v="1.5629999999999999"/>
    <n v="1.5149999999999999"/>
    <n v="22189"/>
    <s v="07-09"/>
    <d v="2025-01-28T00:00:00"/>
    <n v="0.94"/>
    <n v="1.042"/>
    <n v="1.5629999999999999"/>
    <n v="28"/>
    <x v="0"/>
    <x v="4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489"/>
    <n v="24744"/>
    <n v="8156"/>
    <n v="29705"/>
    <n v="2883"/>
    <n v="1.446"/>
    <n v="1.4159999999999999"/>
    <n v="1.5629999999999999"/>
    <n v="1.5149999999999999"/>
    <n v="22196"/>
    <s v="07-03"/>
    <d v="2025-01-29T00:00:00"/>
    <n v="0.96"/>
    <n v="1.1919999999999999"/>
    <n v="1.5629999999999999"/>
    <n v="29"/>
    <x v="0"/>
    <x v="4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519"/>
    <n v="24757"/>
    <n v="8161"/>
    <n v="29717"/>
    <n v="2883"/>
    <n v="1.446"/>
    <n v="1.4159999999999999"/>
    <n v="1.5629999999999999"/>
    <n v="1.5149999999999999"/>
    <n v="22204"/>
    <s v="07-01"/>
    <d v="2025-01-30T00:00:00"/>
    <n v="0.96"/>
    <n v="1.0860000000000001"/>
    <n v="1.5629999999999999"/>
    <n v="30"/>
    <x v="0"/>
    <x v="4"/>
    <x v="0"/>
    <n v="506.09999999999997"/>
    <n v="495.59999999999997"/>
    <n v="547.04999999999995"/>
    <n v="530.25"/>
    <n v="547.04999999999995"/>
    <n v="0.92"/>
    <x v="0"/>
    <n v="518.17499999999995"/>
    <n v="1.4804999999999999"/>
  </r>
  <r>
    <n v="65548"/>
    <n v="24770"/>
    <n v="8166"/>
    <n v="29729"/>
    <n v="2883"/>
    <n v="1.4630000000000001"/>
    <n v="1.4159999999999999"/>
    <n v="1.5629999999999999"/>
    <n v="1.5149999999999999"/>
    <n v="22212"/>
    <s v="07-16"/>
    <d v="2025-01-31T00:00:00"/>
    <n v="0.97"/>
    <n v="1.069"/>
    <n v="1.5629999999999999"/>
    <n v="31"/>
    <x v="0"/>
    <x v="4"/>
    <x v="0"/>
    <n v="512.05000000000007"/>
    <n v="495.59999999999997"/>
    <n v="547.04999999999995"/>
    <n v="530.25"/>
    <n v="547.04999999999995"/>
    <n v="0.92"/>
    <x v="0"/>
    <n v="521.15000000000009"/>
    <n v="1.4890000000000003"/>
  </r>
  <r>
    <n v="65572"/>
    <n v="24783"/>
    <n v="8171"/>
    <n v="29734"/>
    <n v="2883"/>
    <n v="1.4910000000000001"/>
    <n v="1.488"/>
    <n v="1.5629999999999999"/>
    <n v="1.5149999999999999"/>
    <n v="22220"/>
    <s v="07-30"/>
    <d v="2025-02-01T00:00:00"/>
    <n v="0.9"/>
    <n v="1.387"/>
    <n v="1.5629999999999999"/>
    <n v="1"/>
    <x v="1"/>
    <x v="4"/>
    <x v="1"/>
    <n v="521.85"/>
    <n v="520.79999999999995"/>
    <n v="547.04999999999995"/>
    <n v="530.25"/>
    <n v="547.04999999999995"/>
    <n v="0.92"/>
    <x v="0"/>
    <n v="526.04999999999995"/>
    <n v="1.5029999999999999"/>
  </r>
  <r>
    <n v="65596"/>
    <n v="24796"/>
    <n v="8176"/>
    <n v="29740"/>
    <n v="2883"/>
    <n v="1.4910000000000001"/>
    <n v="1.488"/>
    <n v="1.5629999999999999"/>
    <n v="1.5149999999999999"/>
    <n v="22227"/>
    <s v="07-20"/>
    <d v="2025-02-02T00:00:00"/>
    <n v="0.9"/>
    <n v="1.1299999999999999"/>
    <n v="1.5629999999999999"/>
    <n v="2"/>
    <x v="1"/>
    <x v="5"/>
    <x v="1"/>
    <n v="521.85"/>
    <n v="520.79999999999995"/>
    <n v="547.04999999999995"/>
    <n v="530.25"/>
    <n v="547.04999999999995"/>
    <n v="0.92"/>
    <x v="0"/>
    <n v="526.04999999999995"/>
    <n v="1.5029999999999999"/>
  </r>
  <r>
    <n v="65619"/>
    <n v="24809"/>
    <n v="8181"/>
    <n v="29745"/>
    <n v="2883"/>
    <n v="1.4910000000000001"/>
    <n v="1.488"/>
    <n v="1.5629999999999999"/>
    <n v="1.5149999999999999"/>
    <n v="22236"/>
    <s v="07-40"/>
    <d v="2025-02-03T00:00:00"/>
    <n v="0.94"/>
    <n v="1.2529999999999999"/>
    <n v="1.5629999999999999"/>
    <n v="3"/>
    <x v="1"/>
    <x v="5"/>
    <x v="1"/>
    <n v="521.85"/>
    <n v="520.79999999999995"/>
    <n v="547.04999999999995"/>
    <n v="530.25"/>
    <n v="547.04999999999995"/>
    <n v="0.92"/>
    <x v="0"/>
    <n v="526.04999999999995"/>
    <n v="1.5029999999999999"/>
  </r>
  <r>
    <n v="65649"/>
    <n v="24809"/>
    <n v="8181"/>
    <n v="29770"/>
    <n v="2888"/>
    <n v="1.4910000000000001"/>
    <n v="1.488"/>
    <n v="1.5629999999999999"/>
    <n v="1.5149999999999999"/>
    <n v="22250"/>
    <s v="07-00"/>
    <d v="2025-02-04T00:00:00"/>
    <n v="0.89"/>
    <n v="1.206"/>
    <n v="1.5629999999999999"/>
    <n v="4"/>
    <x v="1"/>
    <x v="5"/>
    <x v="1"/>
    <n v="521.85"/>
    <n v="520.79999999999995"/>
    <n v="547.04999999999995"/>
    <n v="530.25"/>
    <n v="547.04999999999995"/>
    <n v="0.92"/>
    <x v="0"/>
    <n v="526.04999999999995"/>
    <n v="1.5029999999999999"/>
  </r>
  <r>
    <n v="65679"/>
    <n v="24809"/>
    <n v="8181"/>
    <n v="29795"/>
    <n v="2893"/>
    <n v="1.4910000000000001"/>
    <n v="1.488"/>
    <n v="1.5629999999999999"/>
    <n v="1.5149999999999999"/>
    <n v="22259"/>
    <s v="07-12"/>
    <d v="2025-02-05T00:00:00"/>
    <n v="0.99"/>
    <n v="1.042"/>
    <n v="1.5629999999999999"/>
    <n v="5"/>
    <x v="1"/>
    <x v="5"/>
    <x v="1"/>
    <n v="521.85"/>
    <n v="520.79999999999995"/>
    <n v="547.04999999999995"/>
    <n v="530.25"/>
    <n v="547.04999999999995"/>
    <n v="0.92"/>
    <x v="0"/>
    <n v="526.04999999999995"/>
    <n v="1.5029999999999999"/>
  </r>
  <r>
    <n v="65709"/>
    <n v="24822"/>
    <n v="8186"/>
    <n v="29807"/>
    <n v="2893"/>
    <n v="1.4910000000000001"/>
    <n v="1.512"/>
    <n v="1.5629999999999999"/>
    <n v="1.5149999999999999"/>
    <n v="22267"/>
    <s v="07-16"/>
    <d v="2025-02-06T00:00:00"/>
    <n v="0.96"/>
    <n v="1.1919999999999999"/>
    <n v="1.5629999999999999"/>
    <n v="6"/>
    <x v="1"/>
    <x v="5"/>
    <x v="1"/>
    <n v="521.85"/>
    <n v="529.20000000000005"/>
    <n v="547.04999999999995"/>
    <n v="530.25"/>
    <n v="547.04999999999995"/>
    <n v="0.92"/>
    <x v="0"/>
    <n v="529.72500000000002"/>
    <n v="1.5135000000000001"/>
  </r>
  <r>
    <n v="65738"/>
    <n v="24835"/>
    <n v="8191"/>
    <n v="29819"/>
    <n v="2893"/>
    <n v="1.4910000000000001"/>
    <n v="1.512"/>
    <n v="1.5629999999999999"/>
    <n v="1.5149999999999999"/>
    <n v="22275"/>
    <s v="0-00"/>
    <d v="2025-02-07T00:00:00"/>
    <n v="0.97"/>
    <n v="1.077"/>
    <n v="1.5629999999999999"/>
    <n v="7"/>
    <x v="1"/>
    <x v="5"/>
    <x v="1"/>
    <n v="521.85"/>
    <n v="529.20000000000005"/>
    <n v="547.04999999999995"/>
    <n v="530.25"/>
    <n v="547.04999999999995"/>
    <n v="0.92"/>
    <x v="0"/>
    <n v="529.72500000000002"/>
    <n v="1.5135000000000001"/>
  </r>
  <r>
    <n v="65768"/>
    <n v="24848"/>
    <n v="8196"/>
    <n v="29830"/>
    <n v="2893"/>
    <n v="1.4950000000000001"/>
    <n v="1.512"/>
    <n v="1.5629999999999999"/>
    <n v="1.5149999999999999"/>
    <n v="22283"/>
    <s v="07-10"/>
    <d v="2025-02-08T00:00:00"/>
    <n v="0.96"/>
    <n v="1.1459999999999999"/>
    <n v="1.5629999999999999"/>
    <n v="8"/>
    <x v="1"/>
    <x v="5"/>
    <x v="1"/>
    <n v="523.25"/>
    <n v="529.20000000000005"/>
    <n v="547.04999999999995"/>
    <n v="530.25"/>
    <n v="547.04999999999995"/>
    <n v="0.92"/>
    <x v="0"/>
    <n v="529.72500000000002"/>
    <n v="1.5135000000000001"/>
  </r>
  <r>
    <n v="65797"/>
    <n v="24861"/>
    <n v="8201"/>
    <n v="29842"/>
    <n v="2893"/>
    <n v="1.4950000000000001"/>
    <n v="1.512"/>
    <n v="1.5629999999999999"/>
    <n v="1.5149999999999999"/>
    <n v="22291"/>
    <s v="07-20"/>
    <d v="2025-02-09T00:00:00"/>
    <n v="0.96"/>
    <n v="1.1399999999999999"/>
    <n v="1.5629999999999999"/>
    <n v="9"/>
    <x v="1"/>
    <x v="16"/>
    <x v="1"/>
    <n v="523.25"/>
    <n v="529.20000000000005"/>
    <n v="547.04999999999995"/>
    <n v="530.25"/>
    <n v="547.04999999999995"/>
    <n v="0.92"/>
    <x v="0"/>
    <n v="529.72500000000002"/>
    <n v="1.5135000000000001"/>
  </r>
  <r>
    <n v="65827"/>
    <n v="24873"/>
    <n v="8206"/>
    <n v="29854"/>
    <n v="2893"/>
    <n v="1.4950000000000001"/>
    <n v="1.5"/>
    <n v="1.5629999999999999"/>
    <n v="1.5149999999999999"/>
    <n v="2229"/>
    <s v="07-05"/>
    <d v="2025-02-10T00:00:00"/>
    <n v="0.96"/>
    <n v="1.6890000000000001"/>
    <n v="1.5629999999999999"/>
    <n v="10"/>
    <x v="1"/>
    <x v="16"/>
    <x v="1"/>
    <n v="523.25"/>
    <n v="525"/>
    <n v="547.04999999999995"/>
    <n v="530.25"/>
    <n v="547.04999999999995"/>
    <n v="0.92"/>
    <x v="0"/>
    <n v="527.625"/>
    <n v="1.5075000000000001"/>
  </r>
  <r>
    <n v="65856"/>
    <n v="24873"/>
    <n v="8206"/>
    <n v="29878"/>
    <n v="2898"/>
    <n v="0"/>
    <n v="0"/>
    <n v="1.274"/>
    <n v="0"/>
    <n v="22307"/>
    <n v="0.2951388888888889"/>
    <d v="2025-05-05T00:00:00"/>
    <n v="0.94"/>
    <n v="1.0489999999999999"/>
    <n v="1.274"/>
    <n v="5"/>
    <x v="4"/>
    <x v="23"/>
    <x v="4"/>
    <n v="0"/>
    <n v="0"/>
    <n v="445.90000000000003"/>
    <n v="0"/>
    <n v="445.90000000000003"/>
    <n v="0.94"/>
    <x v="0"/>
    <n v="0"/>
    <n v="0"/>
  </r>
  <r>
    <n v="65887"/>
    <n v="24874"/>
    <n v="8206"/>
    <n v="29903"/>
    <n v="2903"/>
    <n v="1.0549999999999999"/>
    <n v="0"/>
    <n v="1.506"/>
    <n v="1.325"/>
    <n v="22316"/>
    <n v="0.34930555555555554"/>
    <d v="2025-05-06T00:00:00"/>
    <n v="0.97"/>
    <n v="1.1459999999999999"/>
    <n v="1.506"/>
    <n v="6"/>
    <x v="4"/>
    <x v="23"/>
    <x v="4"/>
    <n v="369.25"/>
    <n v="0"/>
    <n v="527.1"/>
    <n v="463.75"/>
    <n v="527.1"/>
    <n v="0.94"/>
    <x v="0"/>
    <n v="416.5"/>
    <n v="1.19"/>
  </r>
  <r>
    <n v="65915"/>
    <n v="24886"/>
    <n v="8211"/>
    <n v="29914"/>
    <n v="2903"/>
    <n v="1.389"/>
    <n v="1.359"/>
    <n v="1.506"/>
    <n v="1.3260000000000001"/>
    <n v="22323"/>
    <n v="0.32083333333333336"/>
    <d v="2025-05-07T00:00:00"/>
    <n v="0.96"/>
    <n v="1.1220000000000001"/>
    <n v="1.506"/>
    <n v="7"/>
    <x v="4"/>
    <x v="23"/>
    <x v="4"/>
    <n v="486.15"/>
    <n v="475.65"/>
    <n v="527.1"/>
    <n v="464.1"/>
    <n v="527.1"/>
    <n v="0.94"/>
    <x v="0"/>
    <n v="480.9"/>
    <n v="1.3739999999999999"/>
  </r>
  <r>
    <n v="65943"/>
    <n v="24898"/>
    <n v="8216"/>
    <n v="29925"/>
    <n v="2903"/>
    <n v="1.4"/>
    <n v="1.3979999999999999"/>
    <n v="1.506"/>
    <n v="1.3260000000000001"/>
    <n v="22331"/>
    <n v="0.29305555555555557"/>
    <d v="2025-05-08T00:00:00"/>
    <n v="0.97"/>
    <n v="1.103"/>
    <n v="1.506"/>
    <n v="8"/>
    <x v="4"/>
    <x v="23"/>
    <x v="4"/>
    <n v="489.99999999999994"/>
    <n v="489.29999999999995"/>
    <n v="527.1"/>
    <n v="464.1"/>
    <n v="527.1"/>
    <n v="0.94"/>
    <x v="0"/>
    <n v="489.65"/>
    <n v="1.399"/>
  </r>
  <r>
    <n v="65972"/>
    <n v="24910"/>
    <n v="8221"/>
    <n v="29936"/>
    <n v="2903"/>
    <n v="1.4"/>
    <n v="1.3979999999999999"/>
    <n v="1.506"/>
    <n v="1.3260000000000001"/>
    <n v="22339"/>
    <n v="0.29305555555555557"/>
    <d v="2025-05-09T00:00:00"/>
    <n v="0.96"/>
    <n v="1.1459999999999999"/>
    <n v="1.506"/>
    <n v="9"/>
    <x v="4"/>
    <x v="23"/>
    <x v="4"/>
    <n v="489.99999999999994"/>
    <n v="489.29999999999995"/>
    <n v="527.1"/>
    <n v="464.1"/>
    <n v="527.1"/>
    <n v="0.94"/>
    <x v="0"/>
    <n v="489.65"/>
    <n v="1.399"/>
  </r>
  <r>
    <n v="66001"/>
    <n v="24922"/>
    <n v="8226"/>
    <n v="29948"/>
    <n v="2903"/>
    <n v="1.419"/>
    <n v="1.3979999999999999"/>
    <n v="1.506"/>
    <n v="1.3260000000000001"/>
    <n v="22347"/>
    <n v="0.30555555555555558"/>
    <d v="2025-05-10T00:00:00"/>
    <n v="0.96"/>
    <n v="1.0329999999999999"/>
    <n v="1.506"/>
    <n v="10"/>
    <x v="4"/>
    <x v="23"/>
    <x v="4"/>
    <n v="496.65000000000003"/>
    <n v="489.29999999999995"/>
    <n v="527.1"/>
    <n v="464.1"/>
    <n v="527.1"/>
    <n v="0.94"/>
    <x v="0"/>
    <n v="492.97500000000002"/>
    <n v="1.4085000000000001"/>
  </r>
  <r>
    <n v="66029"/>
    <n v="24935"/>
    <n v="8231"/>
    <n v="29960"/>
    <n v="2903"/>
    <n v="1.419"/>
    <n v="1.3979999999999999"/>
    <n v="1.506"/>
    <n v="1.3260000000000001"/>
    <n v="22354"/>
    <n v="0.3125"/>
    <d v="2025-05-11T00:00:00"/>
    <n v="0.96"/>
    <n v="1.2290000000000001"/>
    <n v="1.506"/>
    <n v="11"/>
    <x v="4"/>
    <x v="26"/>
    <x v="4"/>
    <n v="496.65000000000003"/>
    <n v="489.29999999999995"/>
    <n v="527.1"/>
    <n v="464.1"/>
    <n v="527.1"/>
    <n v="0.94"/>
    <x v="0"/>
    <n v="492.97500000000002"/>
    <n v="1.4085000000000001"/>
  </r>
  <r>
    <n v="66058"/>
    <n v="24935"/>
    <n v="8231"/>
    <n v="29984"/>
    <n v="2908"/>
    <n v="1.419"/>
    <n v="1.3979999999999999"/>
    <n v="1.506"/>
    <n v="1.355"/>
    <n v="22363"/>
    <n v="0.29791666666666666"/>
    <d v="2025-05-12T00:00:00"/>
    <n v="0.95"/>
    <n v="1.2030000000000001"/>
    <n v="1.506"/>
    <n v="12"/>
    <x v="4"/>
    <x v="26"/>
    <x v="4"/>
    <n v="496.65000000000003"/>
    <n v="489.29999999999995"/>
    <n v="527.1"/>
    <n v="474.25"/>
    <n v="527.1"/>
    <n v="0.94"/>
    <x v="0"/>
    <n v="492.97500000000002"/>
    <n v="1.4085000000000001"/>
  </r>
  <r>
    <n v="66086"/>
    <n v="24935"/>
    <n v="8231"/>
    <n v="30007"/>
    <n v="2912"/>
    <n v="1.419"/>
    <n v="1.3979999999999999"/>
    <n v="1.506"/>
    <n v="1.355"/>
    <n v="22371"/>
    <n v="0.30694444444444446"/>
    <d v="2025-05-13T00:00:00"/>
    <n v="0.96"/>
    <n v="1.1539999999999999"/>
    <n v="1.506"/>
    <n v="13"/>
    <x v="4"/>
    <x v="26"/>
    <x v="4"/>
    <n v="496.65000000000003"/>
    <n v="489.29999999999995"/>
    <n v="527.1"/>
    <n v="474.25"/>
    <n v="527.1"/>
    <n v="0.94"/>
    <x v="0"/>
    <n v="492.97500000000002"/>
    <n v="1.4085000000000001"/>
  </r>
  <r>
    <n v="66115"/>
    <n v="24947"/>
    <n v="8236"/>
    <n v="30018"/>
    <n v="2912"/>
    <n v="1.419"/>
    <n v="1.3979999999999999"/>
    <n v="1.506"/>
    <n v="1.355"/>
    <n v="22378"/>
    <n v="0.31944444444444442"/>
    <d v="2025-05-14T00:00:00"/>
    <n v="0.98"/>
    <n v="9.1999999999999993"/>
    <n v="1.506"/>
    <n v="14"/>
    <x v="4"/>
    <x v="26"/>
    <x v="4"/>
    <n v="496.65000000000003"/>
    <n v="489.29999999999995"/>
    <n v="527.1"/>
    <n v="474.25"/>
    <n v="527.1"/>
    <n v="0.94"/>
    <x v="0"/>
    <n v="492.97500000000002"/>
    <n v="1.4085000000000001"/>
  </r>
  <r>
    <n v="66142"/>
    <n v="24959"/>
    <n v="8240"/>
    <n v="30029"/>
    <n v="2912"/>
    <n v="1.419"/>
    <n v="1.3979999999999999"/>
    <n v="1.506"/>
    <n v="1.355"/>
    <n v="22385"/>
    <n v="0.2951388888888889"/>
    <d v="2025-05-15T00:00:00"/>
    <n v="0.96"/>
    <n v="1.1319999999999999"/>
    <n v="1.506"/>
    <n v="15"/>
    <x v="4"/>
    <x v="26"/>
    <x v="4"/>
    <n v="496.65000000000003"/>
    <n v="489.29999999999995"/>
    <n v="527.1"/>
    <n v="474.25"/>
    <n v="527.1"/>
    <n v="0.94"/>
    <x v="0"/>
    <n v="492.97500000000002"/>
    <n v="1.4085000000000001"/>
  </r>
  <r>
    <n v="66172"/>
    <n v="24971"/>
    <n v="8245"/>
    <n v="30041"/>
    <n v="2912"/>
    <n v="1.48"/>
    <n v="1.3979999999999999"/>
    <n v="1.506"/>
    <n v="1.355"/>
    <n v="22393"/>
    <n v="0.30555555555555558"/>
    <d v="2025-05-16T00:00:00"/>
    <n v="0.96"/>
    <n v="1.012"/>
    <n v="1.506"/>
    <n v="16"/>
    <x v="4"/>
    <x v="26"/>
    <x v="4"/>
    <n v="518"/>
    <n v="489.29999999999995"/>
    <n v="527.1"/>
    <n v="474.25"/>
    <n v="527.1"/>
    <n v="0.94"/>
    <x v="0"/>
    <n v="503.65"/>
    <n v="1.4389999999999998"/>
  </r>
  <r>
    <n v="66202"/>
    <n v="24985"/>
    <n v="8251"/>
    <n v="30050"/>
    <n v="2912"/>
    <n v="1.4890000000000001"/>
    <n v="1.4670000000000001"/>
    <n v="1.506"/>
    <n v="1.355"/>
    <n v="22402"/>
    <n v="0.30902777777777779"/>
    <d v="2025-05-17T00:00:00"/>
    <n v="0.96"/>
    <n v="1.2030000000000001"/>
    <n v="1.506"/>
    <n v="17"/>
    <x v="4"/>
    <x v="26"/>
    <x v="4"/>
    <n v="521.15000000000009"/>
    <n v="513.45000000000005"/>
    <n v="527.1"/>
    <n v="474.25"/>
    <n v="527.1"/>
    <n v="0.94"/>
    <x v="0"/>
    <n v="517.30000000000007"/>
    <n v="1.4780000000000002"/>
  </r>
  <r>
    <n v="66232"/>
    <n v="24998"/>
    <n v="8256"/>
    <n v="30065"/>
    <n v="2912"/>
    <n v="1.4890000000000001"/>
    <n v="1.4670000000000001"/>
    <n v="1.506"/>
    <n v="1.355"/>
    <n v="22421"/>
    <n v="0.2986111111111111"/>
    <d v="2025-05-18T00:00:00"/>
    <n v="0.97"/>
    <n v="1.18"/>
    <n v="1.506"/>
    <n v="18"/>
    <x v="4"/>
    <x v="27"/>
    <x v="4"/>
    <n v="521.15000000000009"/>
    <n v="513.45000000000005"/>
    <n v="527.1"/>
    <n v="474.25"/>
    <n v="527.1"/>
    <n v="0.94"/>
    <x v="0"/>
    <n v="517.30000000000007"/>
    <n v="1.4780000000000002"/>
  </r>
  <r>
    <n v="66262"/>
    <n v="24998"/>
    <n v="8256"/>
    <n v="30089"/>
    <n v="2917"/>
    <n v="1.4890000000000001"/>
    <n v="1.4670000000000001"/>
    <n v="1.506"/>
    <n v="1.355"/>
    <n v="2.2418999999999998"/>
    <n v="0.29583333333333334"/>
    <d v="2025-05-19T00:00:00"/>
    <n v="0.96"/>
    <n v="1.046"/>
    <n v="1.506"/>
    <n v="19"/>
    <x v="4"/>
    <x v="27"/>
    <x v="4"/>
    <n v="521.15000000000009"/>
    <n v="513.45000000000005"/>
    <n v="527.1"/>
    <n v="474.25"/>
    <n v="527.1"/>
    <n v="0.94"/>
    <x v="0"/>
    <n v="517.30000000000007"/>
    <n v="1.4780000000000002"/>
  </r>
  <r>
    <n v="66299"/>
    <n v="25002"/>
    <n v="8256"/>
    <n v="30096"/>
    <n v="2922"/>
    <n v="1.4890000000000001"/>
    <n v="1.4670000000000001"/>
    <n v="1.506"/>
    <n v="1.355"/>
    <n v="2.2429999999999999"/>
    <n v="0.3125"/>
    <d v="2025-05-20T00:00:00"/>
    <n v="0.94"/>
    <n v="1.3540000000000001"/>
    <n v="1.506"/>
    <n v="20"/>
    <x v="4"/>
    <x v="27"/>
    <x v="4"/>
    <n v="521.15000000000009"/>
    <n v="513.45000000000005"/>
    <n v="527.1"/>
    <n v="474.25"/>
    <n v="527.1"/>
    <n v="0.94"/>
    <x v="0"/>
    <n v="517.30000000000007"/>
    <n v="1.4780000000000002"/>
  </r>
  <r>
    <n v="66320"/>
    <n v="25011"/>
    <n v="8256"/>
    <n v="30125"/>
    <n v="2922"/>
    <n v="1.4890000000000001"/>
    <n v="1.4670000000000001"/>
    <n v="1.506"/>
    <n v="1.355"/>
    <n v="22435"/>
    <n v="0.29930555555555555"/>
    <d v="2025-05-21T00:00:00"/>
    <n v="0.94"/>
    <n v="1.206"/>
    <n v="1.506"/>
    <n v="21"/>
    <x v="4"/>
    <x v="27"/>
    <x v="4"/>
    <n v="521.15000000000009"/>
    <n v="513.45000000000005"/>
    <n v="527.1"/>
    <n v="474.25"/>
    <n v="527.1"/>
    <n v="0.94"/>
    <x v="0"/>
    <n v="517.30000000000007"/>
    <n v="1.4780000000000002"/>
  </r>
  <r>
    <n v="66350"/>
    <n v="25024"/>
    <n v="8266"/>
    <n v="30137"/>
    <n v="2922"/>
    <n v="1.536"/>
    <n v="1.4670000000000001"/>
    <n v="1.506"/>
    <n v="1.355"/>
    <n v="22444"/>
    <n v="0.2986111111111111"/>
    <d v="2025-05-22T00:00:00"/>
    <n v="0.96"/>
    <n v="1.3049999999999999"/>
    <n v="1.536"/>
    <n v="22"/>
    <x v="4"/>
    <x v="27"/>
    <x v="4"/>
    <n v="537.6"/>
    <n v="513.45000000000005"/>
    <n v="527.1"/>
    <n v="474.25"/>
    <n v="537.6"/>
    <n v="0.94"/>
    <x v="0"/>
    <n v="520.27500000000009"/>
    <n v="1.4865000000000002"/>
  </r>
  <r>
    <n v="66380"/>
    <n v="25037"/>
    <n v="8271"/>
    <n v="30149"/>
    <n v="2922"/>
    <n v="1.536"/>
    <n v="1.4670000000000001"/>
    <n v="1.506"/>
    <n v="1.355"/>
    <n v="22452"/>
    <n v="0.30277777777777776"/>
    <d v="2025-05-23T00:00:00"/>
    <n v="0.97"/>
    <n v="10.66"/>
    <n v="1.536"/>
    <n v="23"/>
    <x v="4"/>
    <x v="27"/>
    <x v="4"/>
    <n v="537.6"/>
    <n v="513.45000000000005"/>
    <n v="527.1"/>
    <n v="474.25"/>
    <n v="537.6"/>
    <n v="0.94"/>
    <x v="0"/>
    <n v="520.27500000000009"/>
    <n v="1.4865000000000002"/>
  </r>
  <r>
    <n v="66410"/>
    <n v="25050"/>
    <n v="8276"/>
    <n v="30160"/>
    <n v="2922"/>
    <n v="1.536"/>
    <n v="1.4670000000000001"/>
    <n v="1.506"/>
    <n v="1.355"/>
    <n v="22461"/>
    <n v="0.30555555555555558"/>
    <d v="2025-05-24T00:00:00"/>
    <n v="0.96"/>
    <n v="1.2210000000000001"/>
    <n v="1.536"/>
    <n v="24"/>
    <x v="4"/>
    <x v="27"/>
    <x v="4"/>
    <n v="537.6"/>
    <n v="513.45000000000005"/>
    <n v="527.1"/>
    <n v="474.25"/>
    <n v="537.6"/>
    <n v="0.94"/>
    <x v="0"/>
    <n v="520.27500000000009"/>
    <n v="1.4865000000000002"/>
  </r>
  <r>
    <n v="66440"/>
    <n v="25063"/>
    <n v="8281"/>
    <n v="30172"/>
    <n v="2922"/>
    <n v="1.536"/>
    <n v="1.4670000000000001"/>
    <n v="1.506"/>
    <n v="1.355"/>
    <n v="22469"/>
    <n v="0.2986111111111111"/>
    <d v="2025-05-25T00:00:00"/>
    <n v="0.94"/>
    <n v="0.98599999999999999"/>
    <n v="1.536"/>
    <n v="25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470"/>
    <n v="25063"/>
    <n v="8281"/>
    <n v="30197"/>
    <n v="2927"/>
    <n v="1.536"/>
    <n v="1.4670000000000001"/>
    <n v="1.506"/>
    <n v="1.355"/>
    <n v="22478"/>
    <n v="0.34097222222222223"/>
    <d v="2025-05-26T00:00:00"/>
    <n v="0.96"/>
    <n v="9.69"/>
    <n v="1.536"/>
    <n v="26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497"/>
    <n v="25063"/>
    <n v="8281"/>
    <n v="30219"/>
    <n v="2932"/>
    <n v="1.536"/>
    <n v="1.4670000000000001"/>
    <n v="1.506"/>
    <n v="1.355"/>
    <n v="22485"/>
    <n v="0.35902777777777778"/>
    <d v="2025-05-27T00:00:00"/>
    <n v="0.97"/>
    <n v="1.0409999999999999"/>
    <n v="1.536"/>
    <n v="27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526"/>
    <n v="25076"/>
    <n v="8286"/>
    <n v="30231"/>
    <n v="2932"/>
    <n v="1.536"/>
    <n v="1.4670000000000001"/>
    <n v="1.506"/>
    <n v="1.355"/>
    <n v="22493"/>
    <n v="0.32361111111111113"/>
    <d v="2025-05-28T00:00:00"/>
    <n v="0.97"/>
    <n v="1.1870000000000001"/>
    <n v="1.536"/>
    <n v="28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553"/>
    <n v="25088"/>
    <n v="8291"/>
    <n v="30241"/>
    <n v="2932"/>
    <n v="1.536"/>
    <n v="1.4670000000000001"/>
    <n v="1.506"/>
    <n v="1.355"/>
    <n v="22500"/>
    <n v="0.29583333333333334"/>
    <d v="2025-05-29T00:00:00"/>
    <n v="0.97"/>
    <n v="1.212"/>
    <n v="1.536"/>
    <n v="29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581"/>
    <n v="25100"/>
    <n v="8296"/>
    <n v="30252"/>
    <n v="2932"/>
    <n v="1.536"/>
    <n v="1.4670000000000001"/>
    <n v="1.506"/>
    <n v="1.355"/>
    <n v="22507"/>
    <n v="0.29305555555555557"/>
    <d v="2025-05-30T00:00:00"/>
    <n v="0.95"/>
    <n v="1.129"/>
    <n v="1.536"/>
    <n v="30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609"/>
    <n v="25112"/>
    <n v="8301"/>
    <n v="30263"/>
    <n v="2932"/>
    <n v="1.536"/>
    <n v="1.4670000000000001"/>
    <n v="1.506"/>
    <n v="1.355"/>
    <n v="22514"/>
    <n v="0.3125"/>
    <d v="2025-05-31T00:00:00"/>
    <n v="0.95"/>
    <n v="1.016"/>
    <n v="1.536"/>
    <n v="31"/>
    <x v="4"/>
    <x v="28"/>
    <x v="4"/>
    <n v="537.6"/>
    <n v="513.45000000000005"/>
    <n v="527.1"/>
    <n v="474.25"/>
    <n v="537.6"/>
    <n v="0.94"/>
    <x v="0"/>
    <n v="520.27500000000009"/>
    <n v="1.4865000000000002"/>
  </r>
  <r>
    <n v="66638"/>
    <n v="25125"/>
    <n v="8306"/>
    <n v="30275"/>
    <n v="2932"/>
    <n v="1.536"/>
    <n v="1.4670000000000001"/>
    <n v="1.506"/>
    <n v="1.355"/>
    <n v="22522"/>
    <n v="0.2986111111111111"/>
    <d v="2025-06-01T00:00:00"/>
    <n v="0.98"/>
    <n v="1.03"/>
    <n v="1.536"/>
    <n v="1"/>
    <x v="5"/>
    <x v="9"/>
    <x v="5"/>
    <n v="537.6"/>
    <n v="513.45000000000005"/>
    <n v="527.1"/>
    <n v="474.25"/>
    <n v="537.6"/>
    <n v="0.94"/>
    <x v="0"/>
    <n v="520.27500000000009"/>
    <n v="1.4865000000000002"/>
  </r>
  <r>
    <n v="66667"/>
    <n v="25125"/>
    <n v="8306"/>
    <n v="30298"/>
    <n v="2936"/>
    <n v="1.536"/>
    <n v="1.4670000000000001"/>
    <n v="1.506"/>
    <n v="1.355"/>
    <n v="22531"/>
    <n v="0.29236111111111113"/>
    <d v="2025-06-02T00:00:00"/>
    <n v="0.92"/>
    <n v="1.1850000000000001"/>
    <n v="1.536"/>
    <n v="2"/>
    <x v="5"/>
    <x v="9"/>
    <x v="5"/>
    <n v="537.6"/>
    <n v="513.45000000000005"/>
    <n v="527.1"/>
    <n v="474.25"/>
    <n v="537.6"/>
    <n v="0.94"/>
    <x v="0"/>
    <n v="520.27500000000009"/>
    <n v="1.4865000000000002"/>
  </r>
  <r>
    <n v="66694"/>
    <n v="25125"/>
    <n v="8306"/>
    <n v="30321"/>
    <n v="2941"/>
    <n v="1.536"/>
    <n v="1.4670000000000001"/>
    <n v="1.506"/>
    <n v="1.355"/>
    <n v="225339"/>
    <n v="0.29444444444444445"/>
    <d v="2025-06-03T00:00:00"/>
    <n v="0.94"/>
    <n v="1.056"/>
    <n v="1.536"/>
    <n v="3"/>
    <x v="5"/>
    <x v="9"/>
    <x v="5"/>
    <n v="537.6"/>
    <n v="513.45000000000005"/>
    <n v="527.1"/>
    <n v="474.25"/>
    <n v="537.6"/>
    <n v="0.94"/>
    <x v="0"/>
    <n v="520.27500000000009"/>
    <n v="1.4865000000000002"/>
  </r>
  <r>
    <n v="66723"/>
    <n v="25137"/>
    <n v="8311"/>
    <n v="30333"/>
    <n v="2941"/>
    <n v="0"/>
    <n v="0"/>
    <n v="1.238"/>
    <n v="0"/>
    <n v="22547"/>
    <d v="1899-12-30T07:06:00"/>
    <d v="2025-07-01T00:00:00"/>
    <n v="0.96"/>
    <n v="1.1020000000000001"/>
    <n v="1.238"/>
    <n v="1"/>
    <x v="6"/>
    <x v="10"/>
    <x v="6"/>
    <n v="0"/>
    <n v="0"/>
    <n v="433.3"/>
    <n v="0"/>
    <n v="433.3"/>
    <n v="0.94"/>
    <x v="0"/>
    <n v="0"/>
    <n v="0"/>
  </r>
  <r>
    <n v="66751"/>
    <n v="25150"/>
    <n v="8315"/>
    <n v="30344"/>
    <n v="2941"/>
    <n v="1.375"/>
    <n v="1.389"/>
    <n v="1.268"/>
    <n v="0"/>
    <n v="22555"/>
    <d v="1899-12-30T07:20:00"/>
    <d v="2025-07-02T00:00:00"/>
    <n v="0.98"/>
    <n v="9.6999999999999993"/>
    <n v="1.389"/>
    <n v="2"/>
    <x v="6"/>
    <x v="10"/>
    <x v="6"/>
    <n v="481.25"/>
    <n v="486.15"/>
    <n v="443.8"/>
    <n v="0"/>
    <n v="486.15"/>
    <n v="0.94"/>
    <x v="0"/>
    <n v="462.52499999999998"/>
    <n v="1.3214999999999999"/>
  </r>
  <r>
    <n v="66780"/>
    <n v="25162"/>
    <n v="8320"/>
    <n v="30355"/>
    <n v="2941"/>
    <n v="1.4550000000000001"/>
    <n v="1.3919999999999999"/>
    <n v="1.28"/>
    <n v="0"/>
    <n v="22562"/>
    <d v="1899-12-30T07:17:00"/>
    <d v="2025-07-03T00:00:00"/>
    <n v="0.94"/>
    <n v="1.137"/>
    <n v="1.4550000000000001"/>
    <n v="3"/>
    <x v="6"/>
    <x v="10"/>
    <x v="6"/>
    <n v="509.25"/>
    <n v="487.2"/>
    <n v="448"/>
    <n v="0"/>
    <n v="509.25"/>
    <n v="0.94"/>
    <x v="0"/>
    <n v="467.6"/>
    <n v="1.3360000000000001"/>
  </r>
  <r>
    <n v="66799"/>
    <n v="25170"/>
    <n v="8320"/>
    <n v="30366"/>
    <n v="2941"/>
    <n v="1.4550000000000001"/>
    <n v="1.3919999999999999"/>
    <n v="1.49"/>
    <n v="0"/>
    <n v="22570"/>
    <d v="1899-12-30T07:03:00"/>
    <d v="2025-07-04T00:00:00"/>
    <n v="0.84"/>
    <n v="1.198"/>
    <n v="1.49"/>
    <n v="4"/>
    <x v="6"/>
    <x v="10"/>
    <x v="6"/>
    <n v="509.25"/>
    <n v="487.2"/>
    <n v="521.5"/>
    <n v="0"/>
    <n v="521.5"/>
    <n v="0.94"/>
    <x v="0"/>
    <n v="498.22500000000002"/>
    <n v="1.4235"/>
  </r>
  <r>
    <n v="66817"/>
    <n v="25176"/>
    <n v="8320"/>
    <n v="30378"/>
    <n v="2941"/>
    <n v="1.4550000000000001"/>
    <n v="1.3919999999999999"/>
    <n v="1.49"/>
    <n v="0"/>
    <n v="22575"/>
    <d v="1899-12-30T07:00:00"/>
    <d v="2025-07-05T00:00:00"/>
    <n v="0.93"/>
    <n v="1.2450000000000001"/>
    <n v="1.49"/>
    <n v="5"/>
    <x v="6"/>
    <x v="10"/>
    <x v="6"/>
    <n v="509.25"/>
    <n v="487.2"/>
    <n v="521.5"/>
    <n v="0"/>
    <n v="521.5"/>
    <n v="0.94"/>
    <x v="0"/>
    <n v="498.22500000000002"/>
    <n v="1.4235"/>
  </r>
  <r>
    <n v="66844"/>
    <n v="25176"/>
    <n v="8320"/>
    <n v="30401"/>
    <n v="2946"/>
    <n v="1.4550000000000001"/>
    <n v="1.3919999999999999"/>
    <n v="1.49"/>
    <n v="1.2889999999999999"/>
    <n v="22584"/>
    <d v="1899-12-30T07:01:00"/>
    <d v="2025-07-06T00:00:00"/>
    <n v="0.96"/>
    <n v="1.05"/>
    <n v="1.49"/>
    <n v="6"/>
    <x v="6"/>
    <x v="29"/>
    <x v="6"/>
    <n v="509.25"/>
    <n v="487.2"/>
    <n v="521.5"/>
    <n v="451.15"/>
    <n v="521.5"/>
    <n v="0.94"/>
    <x v="0"/>
    <n v="498.22500000000002"/>
    <n v="1.4235"/>
  </r>
  <r>
    <n v="66873"/>
    <n v="25176"/>
    <n v="8320"/>
    <n v="30424"/>
    <n v="2951"/>
    <n v="1.4550000000000001"/>
    <n v="1.3919999999999999"/>
    <n v="1.49"/>
    <n v="1.3089999999999999"/>
    <n v="22593"/>
    <d v="1899-12-30T07:07:00"/>
    <d v="2025-07-07T00:00:00"/>
    <n v="0.96"/>
    <n v="1.0620000000000001"/>
    <n v="1.49"/>
    <n v="7"/>
    <x v="6"/>
    <x v="29"/>
    <x v="6"/>
    <n v="509.25"/>
    <n v="487.2"/>
    <n v="521.5"/>
    <n v="458.15"/>
    <n v="521.5"/>
    <n v="0.94"/>
    <x v="0"/>
    <n v="498.22500000000002"/>
    <n v="1.4235"/>
  </r>
  <r>
    <n v="66900"/>
    <n v="25188"/>
    <n v="8325"/>
    <n v="30436"/>
    <n v="2951"/>
    <n v="1.4550000000000001"/>
    <n v="1.3919999999999999"/>
    <n v="1.49"/>
    <n v="1.3089999999999999"/>
    <n v="22601"/>
    <d v="1899-12-30T07:09:00"/>
    <d v="2025-07-08T00:00:00"/>
    <n v="0.96"/>
    <n v="1.1850000000000001"/>
    <n v="1.49"/>
    <n v="8"/>
    <x v="6"/>
    <x v="29"/>
    <x v="6"/>
    <n v="509.25"/>
    <n v="487.2"/>
    <n v="521.5"/>
    <n v="458.15"/>
    <n v="521.5"/>
    <n v="0.94"/>
    <x v="0"/>
    <n v="498.22500000000002"/>
    <n v="1.4235"/>
  </r>
  <r>
    <n v="66995"/>
    <n v="25193"/>
    <n v="8330"/>
    <n v="30451"/>
    <n v="2951"/>
    <n v="1.4550000000000001"/>
    <n v="1.3919999999999999"/>
    <n v="1.49"/>
    <n v="1.3089999999999999"/>
    <n v="22613"/>
    <d v="1899-12-30T07:20:00"/>
    <d v="2025-07-09T00:00:00"/>
    <n v="0.96"/>
    <n v="1.1910000000000001"/>
    <n v="1.49"/>
    <n v="9"/>
    <x v="6"/>
    <x v="29"/>
    <x v="6"/>
    <n v="509.25"/>
    <n v="487.2"/>
    <n v="521.5"/>
    <n v="458.15"/>
    <n v="521.5"/>
    <n v="0.94"/>
    <x v="0"/>
    <n v="498.22500000000002"/>
    <n v="1.4235"/>
  </r>
  <r>
    <n v="66955"/>
    <n v="25212"/>
    <n v="8334"/>
    <n v="30457"/>
    <n v="2951"/>
    <n v="1.4550000000000001"/>
    <n v="1.3919999999999999"/>
    <n v="1.49"/>
    <n v="1.3089999999999999"/>
    <n v="22615"/>
    <d v="1899-12-30T07:15:00"/>
    <d v="2025-07-10T00:00:00"/>
    <n v="0.96"/>
    <n v="9.6"/>
    <n v="1.49"/>
    <n v="10"/>
    <x v="6"/>
    <x v="29"/>
    <x v="6"/>
    <n v="509.25"/>
    <n v="487.2"/>
    <n v="521.5"/>
    <n v="458.15"/>
    <n v="521.5"/>
    <n v="0.94"/>
    <x v="0"/>
    <n v="498.22500000000002"/>
    <n v="1.4235"/>
  </r>
  <r>
    <n v="66982"/>
    <n v="25224"/>
    <n v="8338"/>
    <n v="30468"/>
    <n v="2951"/>
    <n v="1.4550000000000001"/>
    <n v="1.3919999999999999"/>
    <n v="1.49"/>
    <n v="1.3089999999999999"/>
    <n v="22622"/>
    <d v="1899-12-30T07:08:00"/>
    <d v="2025-07-11T00:00:00"/>
    <n v="0.95"/>
    <n v="1.1200000000000001"/>
    <n v="1.49"/>
    <n v="11"/>
    <x v="6"/>
    <x v="29"/>
    <x v="6"/>
    <n v="509.25"/>
    <n v="487.2"/>
    <n v="521.5"/>
    <n v="458.15"/>
    <n v="521.5"/>
    <n v="0.94"/>
    <x v="0"/>
    <n v="498.22500000000002"/>
    <n v="1.4235"/>
  </r>
  <r>
    <n v="67010"/>
    <n v="25236"/>
    <n v="8343"/>
    <n v="30479"/>
    <n v="2951"/>
    <n v="1.4550000000000001"/>
    <n v="1.3919999999999999"/>
    <n v="1.49"/>
    <n v="1.3089999999999999"/>
    <n v="22629"/>
    <d v="1899-12-30T07:04:00"/>
    <d v="2025-07-12T00:00:00"/>
    <n v="0.92"/>
    <n v="1.069"/>
    <n v="1.49"/>
    <n v="12"/>
    <x v="6"/>
    <x v="29"/>
    <x v="6"/>
    <n v="509.25"/>
    <n v="487.2"/>
    <n v="521.5"/>
    <n v="458.15"/>
    <n v="521.5"/>
    <n v="0.94"/>
    <x v="0"/>
    <n v="498.22500000000002"/>
    <n v="1.4235"/>
  </r>
  <r>
    <n v="67024"/>
    <n v="25236"/>
    <n v="8343"/>
    <n v="30508"/>
    <n v="2951"/>
    <n v="1.4550000000000001"/>
    <n v="1.3919999999999999"/>
    <n v="1.49"/>
    <n v="1.3129999999999999"/>
    <n v="22636"/>
    <d v="1899-12-30T07:15:00"/>
    <d v="2025-07-13T00:00:00"/>
    <n v="0.96"/>
    <n v="1.125"/>
    <n v="1.49"/>
    <n v="13"/>
    <x v="6"/>
    <x v="30"/>
    <x v="6"/>
    <n v="509.25"/>
    <n v="487.2"/>
    <n v="521.5"/>
    <n v="459.54999999999995"/>
    <n v="521.5"/>
    <n v="0.94"/>
    <x v="0"/>
    <n v="498.22500000000002"/>
    <n v="1.4235"/>
  </r>
  <r>
    <n v="67065"/>
    <n v="25236"/>
    <n v="8343"/>
    <n v="30525"/>
    <n v="2960"/>
    <n v="1.4550000000000001"/>
    <n v="1.3919999999999999"/>
    <n v="1.49"/>
    <n v="1.3129999999999999"/>
    <n v="22647"/>
    <d v="1899-12-30T08:33:00"/>
    <d v="2025-07-14T00:00:00"/>
    <n v="0.92"/>
    <n v="1.0109999999999999"/>
    <n v="1.49"/>
    <n v="14"/>
    <x v="6"/>
    <x v="30"/>
    <x v="6"/>
    <n v="509.25"/>
    <n v="487.2"/>
    <n v="521.5"/>
    <n v="459.54999999999995"/>
    <n v="521.5"/>
    <n v="0.94"/>
    <x v="0"/>
    <n v="498.22500000000002"/>
    <n v="1.4235"/>
  </r>
  <r>
    <n v="67090"/>
    <n v="25247"/>
    <n v="8348"/>
    <n v="30535"/>
    <n v="2960"/>
    <n v="1.4550000000000001"/>
    <n v="1.3919999999999999"/>
    <n v="1.49"/>
    <n v="1.3129999999999999"/>
    <n v="22654"/>
    <d v="1899-12-30T07:03:00"/>
    <d v="2025-07-15T00:00:00"/>
    <n v="0.97"/>
    <n v="9.67"/>
    <n v="1.49"/>
    <n v="15"/>
    <x v="6"/>
    <x v="30"/>
    <x v="6"/>
    <n v="509.25"/>
    <n v="487.2"/>
    <n v="521.5"/>
    <n v="459.54999999999995"/>
    <n v="521.5"/>
    <n v="0.94"/>
    <x v="0"/>
    <n v="498.22500000000002"/>
    <n v="1.4235"/>
  </r>
  <r>
    <n v="67118"/>
    <n v="25259"/>
    <n v="8353"/>
    <n v="30546"/>
    <n v="2960"/>
    <n v="1.4550000000000001"/>
    <n v="1.3919999999999999"/>
    <n v="1.49"/>
    <n v="1.3129999999999999"/>
    <n v="22661"/>
    <d v="1899-12-30T07:14:00"/>
    <d v="2025-07-16T00:00:00"/>
    <n v="0.96"/>
    <n v="1.0589999999999999"/>
    <n v="1.49"/>
    <n v="16"/>
    <x v="6"/>
    <x v="30"/>
    <x v="6"/>
    <n v="509.25"/>
    <n v="487.2"/>
    <n v="521.5"/>
    <n v="459.54999999999995"/>
    <n v="521.5"/>
    <n v="0.94"/>
    <x v="0"/>
    <n v="498.22500000000002"/>
    <n v="1.4235"/>
  </r>
  <r>
    <n v="67146"/>
    <n v="25272"/>
    <n v="8357"/>
    <n v="30557"/>
    <n v="2960"/>
    <n v="1.4550000000000001"/>
    <n v="1.3919999999999999"/>
    <n v="1.49"/>
    <n v="1.3129999999999999"/>
    <n v="22669"/>
    <d v="1899-12-30T07:07:00"/>
    <d v="2025-07-17T00:00:00"/>
    <n v="0.94"/>
    <n v="1.1759999999999999"/>
    <n v="1.49"/>
    <n v="17"/>
    <x v="6"/>
    <x v="30"/>
    <x v="6"/>
    <n v="509.25"/>
    <n v="487.2"/>
    <n v="521.5"/>
    <n v="459.54999999999995"/>
    <n v="521.5"/>
    <n v="0.94"/>
    <x v="0"/>
    <n v="498.22500000000002"/>
    <n v="1.4235"/>
  </r>
  <r>
    <n v="67174"/>
    <n v="25284"/>
    <n v="8362"/>
    <n v="30568"/>
    <n v="2960"/>
    <n v="1.4550000000000001"/>
    <n v="1.3919999999999999"/>
    <n v="1.49"/>
    <n v="1.3129999999999999"/>
    <n v="22676"/>
    <d v="1899-12-30T07:50:00"/>
    <d v="2025-07-18T00:00:00"/>
    <n v="0.98"/>
    <n v="1.153"/>
    <n v="1.49"/>
    <n v="18"/>
    <x v="6"/>
    <x v="30"/>
    <x v="6"/>
    <n v="509.25"/>
    <n v="487.2"/>
    <n v="521.5"/>
    <n v="459.54999999999995"/>
    <n v="521.5"/>
    <n v="0.94"/>
    <x v="0"/>
    <n v="498.22500000000002"/>
    <n v="1.4235"/>
  </r>
  <r>
    <n v="67201"/>
    <n v="25295"/>
    <n v="8366"/>
    <n v="30578"/>
    <n v="2960"/>
    <n v="1.4550000000000001"/>
    <n v="1.3919999999999999"/>
    <n v="1.49"/>
    <n v="1.3129999999999999"/>
    <n v="22683"/>
    <d v="1899-12-30T07:01:00"/>
    <d v="2025-07-19T00:00:00"/>
    <n v="0.94"/>
    <n v="1.0449999999999999"/>
    <n v="1.49"/>
    <n v="19"/>
    <x v="6"/>
    <x v="30"/>
    <x v="6"/>
    <n v="509.25"/>
    <n v="487.2"/>
    <n v="521.5"/>
    <n v="459.54999999999995"/>
    <n v="521.5"/>
    <n v="0.94"/>
    <x v="0"/>
    <n v="498.22500000000002"/>
    <n v="1.4235"/>
  </r>
  <r>
    <n v="67231"/>
    <n v="25295"/>
    <n v="8366"/>
    <n v="30604"/>
    <n v="2964"/>
    <n v="1.4550000000000001"/>
    <n v="1.3919999999999999"/>
    <n v="1.49"/>
    <n v="1.3129999999999999"/>
    <n v="22693"/>
    <d v="1899-12-30T14:35:00"/>
    <d v="2025-07-20T00:00:00"/>
    <n v="0.87"/>
    <n v="1.1379999999999999"/>
    <n v="1.49"/>
    <n v="20"/>
    <x v="6"/>
    <x v="31"/>
    <x v="6"/>
    <n v="509.25"/>
    <n v="487.2"/>
    <n v="521.5"/>
    <n v="459.54999999999995"/>
    <n v="521.5"/>
    <n v="0.94"/>
    <x v="0"/>
    <n v="498.22500000000002"/>
    <n v="1.4235"/>
  </r>
  <r>
    <n v="67249"/>
    <n v="25295"/>
    <n v="8366"/>
    <n v="30617"/>
    <n v="2969"/>
    <n v="1.4550000000000001"/>
    <n v="1.3919999999999999"/>
    <n v="1.49"/>
    <n v="1.39"/>
    <n v="2700"/>
    <d v="1899-12-30T07:08:00"/>
    <d v="2025-07-21T00:00:00"/>
    <n v="0.95"/>
    <n v="1.1779999999999999"/>
    <n v="1.49"/>
    <n v="21"/>
    <x v="6"/>
    <x v="31"/>
    <x v="6"/>
    <n v="509.25"/>
    <n v="487.2"/>
    <n v="521.5"/>
    <n v="486.49999999999994"/>
    <n v="521.5"/>
    <n v="0.94"/>
    <x v="0"/>
    <n v="498.22500000000002"/>
    <n v="1.4235"/>
  </r>
  <r>
    <n v="67276"/>
    <n v="25307"/>
    <n v="8371"/>
    <n v="30627"/>
    <n v="2969"/>
    <n v="1.4550000000000001"/>
    <n v="1.3919999999999999"/>
    <n v="1.49"/>
    <n v="1.39"/>
    <n v="22707"/>
    <d v="1899-12-30T06:37:00"/>
    <d v="2025-07-22T00:00:00"/>
    <n v="0.96"/>
    <n v="1.05"/>
    <n v="1.49"/>
    <n v="22"/>
    <x v="6"/>
    <x v="31"/>
    <x v="6"/>
    <n v="509.25"/>
    <n v="487.2"/>
    <n v="521.5"/>
    <n v="486.49999999999994"/>
    <n v="521.5"/>
    <n v="0.94"/>
    <x v="0"/>
    <n v="498.22500000000002"/>
    <n v="1.4235"/>
  </r>
  <r>
    <n v="67301"/>
    <n v="25318"/>
    <n v="8376"/>
    <n v="30638"/>
    <n v="2969"/>
    <n v="1.4550000000000001"/>
    <n v="1.3919999999999999"/>
    <n v="1.49"/>
    <n v="1.39"/>
    <n v="22713"/>
    <d v="1899-12-30T06:28:00"/>
    <d v="2025-07-23T00:00:00"/>
    <n v="0.98"/>
    <n v="7.81"/>
    <n v="1.49"/>
    <n v="23"/>
    <x v="6"/>
    <x v="31"/>
    <x v="6"/>
    <n v="509.25"/>
    <n v="487.2"/>
    <n v="521.5"/>
    <n v="486.49999999999994"/>
    <n v="521.5"/>
    <n v="0.94"/>
    <x v="0"/>
    <n v="498.22500000000002"/>
    <n v="1.4235"/>
  </r>
  <r>
    <n v="67328"/>
    <n v="25330"/>
    <n v="8380"/>
    <n v="30648"/>
    <n v="2969"/>
    <n v="1.4550000000000001"/>
    <n v="1.3919999999999999"/>
    <n v="1.49"/>
    <n v="1.39"/>
    <n v="22719"/>
    <d v="1899-12-30T06:55:00"/>
    <d v="2025-07-24T00:00:00"/>
    <n v="0.96"/>
    <n v="1.0249999999999999"/>
    <n v="1.49"/>
    <n v="24"/>
    <x v="6"/>
    <x v="31"/>
    <x v="6"/>
    <n v="509.25"/>
    <n v="487.2"/>
    <n v="521.5"/>
    <n v="486.49999999999994"/>
    <n v="521.5"/>
    <n v="0.94"/>
    <x v="0"/>
    <n v="498.22500000000002"/>
    <n v="1.4235"/>
  </r>
  <r>
    <n v="67355"/>
    <n v="25342"/>
    <n v="8385"/>
    <n v="30659"/>
    <n v="2969"/>
    <n v="1.4550000000000001"/>
    <n v="1.3919999999999999"/>
    <n v="1.49"/>
    <n v="1.39"/>
    <n v="22726"/>
    <d v="1899-12-30T07:50:00"/>
    <d v="2025-07-25T00:00:00"/>
    <n v="0.98"/>
    <n v="7.94"/>
    <n v="1.49"/>
    <n v="25"/>
    <x v="6"/>
    <x v="31"/>
    <x v="6"/>
    <n v="509.25"/>
    <n v="487.2"/>
    <n v="521.5"/>
    <n v="486.49999999999994"/>
    <n v="521.5"/>
    <n v="0.94"/>
    <x v="0"/>
    <n v="498.22500000000002"/>
    <n v="1.4235"/>
  </r>
  <r>
    <n v="67382"/>
    <n v="25353"/>
    <n v="8389"/>
    <n v="30669"/>
    <n v="2969"/>
    <n v="1.4550000000000001"/>
    <n v="1.3919999999999999"/>
    <n v="1.49"/>
    <n v="1.39"/>
    <n v="22733"/>
    <d v="1899-12-30T07:10:00"/>
    <d v="2025-07-26T00:00:00"/>
    <n v="0.95"/>
    <n v="1.02"/>
    <n v="1.49"/>
    <n v="26"/>
    <x v="6"/>
    <x v="31"/>
    <x v="6"/>
    <n v="509.25"/>
    <n v="487.2"/>
    <n v="521.5"/>
    <n v="486.49999999999994"/>
    <n v="521.5"/>
    <n v="0.94"/>
    <x v="0"/>
    <n v="498.22500000000002"/>
    <n v="1.4235"/>
  </r>
  <r>
    <n v="67408"/>
    <n v="25353"/>
    <n v="8389"/>
    <n v="30691"/>
    <n v="2973"/>
    <n v="1.4550000000000001"/>
    <n v="1.3919999999999999"/>
    <n v="1.49"/>
    <n v="1.39"/>
    <n v="22743"/>
    <d v="1899-12-30T07:03:00"/>
    <d v="2025-07-27T00:00:00"/>
    <n v="0.94"/>
    <n v="9.1199999999999992"/>
    <n v="1.49"/>
    <n v="27"/>
    <x v="6"/>
    <x v="11"/>
    <x v="6"/>
    <n v="509.25"/>
    <n v="487.2"/>
    <n v="521.5"/>
    <n v="486.49999999999994"/>
    <n v="521.5"/>
    <n v="0.94"/>
    <x v="0"/>
    <n v="498.22500000000002"/>
    <n v="1.4235"/>
  </r>
  <r>
    <n v="67434"/>
    <n v="25353"/>
    <n v="8389"/>
    <n v="30713"/>
    <n v="2977"/>
    <n v="1.4550000000000001"/>
    <n v="1.3919999999999999"/>
    <n v="1.49"/>
    <n v="1.39"/>
    <n v="22749"/>
    <d v="1899-12-30T07:07:00"/>
    <d v="2025-07-28T00:00:00"/>
    <n v="0.96"/>
    <n v="9.59"/>
    <n v="1.49"/>
    <n v="28"/>
    <x v="6"/>
    <x v="11"/>
    <x v="6"/>
    <n v="509.25"/>
    <n v="487.2"/>
    <n v="521.5"/>
    <n v="486.49999999999994"/>
    <n v="521.5"/>
    <n v="0.94"/>
    <x v="0"/>
    <n v="498.22500000000002"/>
    <n v="1.4235"/>
  </r>
  <r>
    <n v="67462"/>
    <n v="25365"/>
    <n v="8394"/>
    <n v="30724"/>
    <n v="2977"/>
    <n v="1.4550000000000001"/>
    <n v="1.3919999999999999"/>
    <n v="1.49"/>
    <n v="1.39"/>
    <n v="22757"/>
    <d v="1899-12-30T07:00:00"/>
    <d v="2025-07-29T00:00:00"/>
    <n v="0.96"/>
    <n v="1.07"/>
    <n v="1.49"/>
    <n v="29"/>
    <x v="6"/>
    <x v="11"/>
    <x v="6"/>
    <n v="509.25"/>
    <n v="487.2"/>
    <n v="521.5"/>
    <n v="486.49999999999994"/>
    <n v="521.5"/>
    <n v="0.94"/>
    <x v="0"/>
    <n v="498.22500000000002"/>
    <n v="1.4235"/>
  </r>
  <r>
    <n v="67489"/>
    <n v="25377"/>
    <n v="8399"/>
    <n v="30734"/>
    <n v="2977"/>
    <n v="1.4550000000000001"/>
    <n v="1.3919999999999999"/>
    <n v="1.49"/>
    <n v="1.39"/>
    <n v="22765"/>
    <d v="1899-12-30T06:28:00"/>
    <d v="2025-07-30T00:00:00"/>
    <n v="0.95"/>
    <n v="1.1220000000000001"/>
    <n v="1.49"/>
    <n v="30"/>
    <x v="6"/>
    <x v="11"/>
    <x v="6"/>
    <n v="509.25"/>
    <n v="487.2"/>
    <n v="521.5"/>
    <n v="486.49999999999994"/>
    <n v="521.5"/>
    <n v="0.94"/>
    <x v="0"/>
    <n v="498.22500000000002"/>
    <n v="1.4235"/>
  </r>
  <r>
    <n v="64518"/>
    <n v="25389"/>
    <n v="8404"/>
    <n v="30746"/>
    <n v="2977"/>
    <n v="1.4550000000000001"/>
    <n v="1.3919999999999999"/>
    <n v="1.49"/>
    <n v="1.39"/>
    <n v="22774"/>
    <d v="1899-12-30T06:32:00"/>
    <d v="2025-07-31T00:00:00"/>
    <n v="0.97"/>
    <n v="1.101"/>
    <n v="1.49"/>
    <n v="31"/>
    <x v="6"/>
    <x v="11"/>
    <x v="6"/>
    <n v="509.25"/>
    <n v="487.2"/>
    <n v="521.5"/>
    <n v="486.49999999999994"/>
    <n v="521.5"/>
    <n v="0.94"/>
    <x v="0"/>
    <n v="498.22500000000002"/>
    <n v="1.4235"/>
  </r>
  <r>
    <n v="67548"/>
    <n v="25402"/>
    <n v="8409"/>
    <n v="30768"/>
    <n v="2977"/>
    <n v="0"/>
    <n v="0"/>
    <n v="1.2250000000000001"/>
    <n v="0"/>
    <n v="22783"/>
    <d v="1899-12-30T07:00:00"/>
    <d v="2025-08-01T00:00:00"/>
    <n v="0.97"/>
    <n v="1.173"/>
    <n v="1.2250000000000001"/>
    <n v="1"/>
    <x v="7"/>
    <x v="11"/>
    <x v="7"/>
    <n v="0"/>
    <n v="0"/>
    <n v="428.75000000000006"/>
    <n v="0"/>
    <n v="428.75000000000006"/>
    <n v="0.94"/>
    <x v="0"/>
    <n v="0"/>
    <n v="0"/>
  </r>
  <r>
    <n v="67575"/>
    <n v="25414"/>
    <n v="8413"/>
    <n v="30769"/>
    <n v="2977"/>
    <n v="1.3640000000000001"/>
    <n v="1.3109999999999999"/>
    <n v="1.282"/>
    <n v="0"/>
    <n v="22791"/>
    <d v="1899-12-30T07:00:00"/>
    <d v="2025-08-02T00:00:00"/>
    <n v="0.94"/>
    <n v="1.0940000000000001"/>
    <n v="1.3640000000000001"/>
    <n v="2"/>
    <x v="7"/>
    <x v="11"/>
    <x v="7"/>
    <n v="477.40000000000003"/>
    <n v="458.84999999999997"/>
    <n v="448.7"/>
    <n v="0"/>
    <n v="477.40000000000003"/>
    <n v="0.94"/>
    <x v="0"/>
    <n v="453.77499999999998"/>
    <n v="1.2965"/>
  </r>
  <r>
    <n v="67604"/>
    <n v="25414"/>
    <n v="8413"/>
    <n v="30792"/>
    <n v="2982"/>
    <n v="1.3640000000000001"/>
    <n v="1.3109999999999999"/>
    <n v="1.371"/>
    <n v="1.3480000000000001"/>
    <n v="22800"/>
    <d v="1899-12-30T07:00:00"/>
    <d v="2025-08-03T00:00:00"/>
    <n v="0.94"/>
    <n v="1.105"/>
    <n v="1.371"/>
    <n v="3"/>
    <x v="7"/>
    <x v="19"/>
    <x v="7"/>
    <n v="477.40000000000003"/>
    <n v="458.84999999999997"/>
    <n v="479.85"/>
    <n v="471.8"/>
    <n v="479.85"/>
    <n v="0.94"/>
    <x v="0"/>
    <n v="474.6"/>
    <n v="1.3560000000000001"/>
  </r>
  <r>
    <n v="24"/>
    <n v="0"/>
    <n v="0"/>
    <n v="19"/>
    <n v="4"/>
    <n v="0.31"/>
    <n v="0"/>
    <n v="1.4279999999999999"/>
    <n v="1.3480000000000001"/>
    <n v="10"/>
    <d v="1899-12-30T07:00:00"/>
    <d v="2025-08-04T00:00:00"/>
    <n v="0.94"/>
    <n v="8.14"/>
    <n v="1.4279999999999999"/>
    <n v="4"/>
    <x v="7"/>
    <x v="19"/>
    <x v="7"/>
    <n v="108.5"/>
    <n v="0"/>
    <n v="499.79999999999995"/>
    <n v="471.8"/>
    <n v="499.79999999999995"/>
    <n v="0.94"/>
    <x v="0"/>
    <n v="290.14999999999998"/>
    <n v="0.82899999999999996"/>
  </r>
  <r>
    <n v="24"/>
    <n v="0"/>
    <n v="0"/>
    <n v="19"/>
    <n v="4"/>
    <n v="0.31"/>
    <n v="0"/>
    <n v="1.4279999999999999"/>
    <n v="1.3180000000000001"/>
    <n v="10"/>
    <d v="1899-12-30T08:22:00"/>
    <d v="2025-08-05T00:00:00"/>
    <n v="0.94"/>
    <n v="8.14"/>
    <n v="1.4279999999999999"/>
    <n v="5"/>
    <x v="7"/>
    <x v="19"/>
    <x v="7"/>
    <n v="108.5"/>
    <n v="0"/>
    <n v="499.79999999999995"/>
    <n v="461.3"/>
    <n v="499.79999999999995"/>
    <n v="0.94"/>
    <x v="0"/>
    <n v="284.89999999999998"/>
    <n v="0.81399999999999995"/>
  </r>
  <r>
    <n v="77"/>
    <n v="23"/>
    <n v="9"/>
    <n v="39"/>
    <n v="4"/>
    <n v="1.3180000000000001"/>
    <n v="1.361"/>
    <n v="1.4279999999999999"/>
    <n v="1.3180000000000001"/>
    <n v="26"/>
    <d v="1899-12-30T06:45:00"/>
    <d v="2025-08-06T00:00:00"/>
    <n v="0.95"/>
    <n v="1.0780000000000001"/>
    <n v="1.4279999999999999"/>
    <n v="6"/>
    <x v="7"/>
    <x v="19"/>
    <x v="7"/>
    <n v="461.3"/>
    <n v="476.35"/>
    <n v="499.79999999999995"/>
    <n v="461.3"/>
    <n v="499.79999999999995"/>
    <n v="0.94"/>
    <x v="0"/>
    <n v="468.82500000000005"/>
    <n v="1.3395000000000001"/>
  </r>
  <r>
    <n v="104"/>
    <n v="35"/>
    <n v="13"/>
    <n v="50"/>
    <n v="4"/>
    <n v="1.377"/>
    <n v="1.361"/>
    <n v="1.4279999999999999"/>
    <n v="1.3180000000000001"/>
    <n v="35"/>
    <d v="1899-12-30T06:42:00"/>
    <d v="2025-08-07T00:00:00"/>
    <n v="0.94"/>
    <n v="1.0580000000000001"/>
    <n v="1.4279999999999999"/>
    <n v="7"/>
    <x v="7"/>
    <x v="19"/>
    <x v="7"/>
    <n v="481.95"/>
    <n v="476.35"/>
    <n v="499.79999999999995"/>
    <n v="461.3"/>
    <n v="499.79999999999995"/>
    <n v="0.94"/>
    <x v="0"/>
    <n v="479.15"/>
    <n v="1.369"/>
  </r>
  <r>
    <n v="133"/>
    <n v="47"/>
    <n v="18"/>
    <n v="62"/>
    <n v="4"/>
    <n v="1.4359999999999999"/>
    <n v="1.361"/>
    <n v="1.4279999999999999"/>
    <n v="1.3180000000000001"/>
    <n v="44"/>
    <d v="1899-12-30T06:52:00"/>
    <d v="2025-08-08T00:00:00"/>
    <n v="0.96"/>
    <n v="1.1120000000000001"/>
    <n v="1.4359999999999999"/>
    <n v="8"/>
    <x v="7"/>
    <x v="19"/>
    <x v="7"/>
    <n v="502.59999999999997"/>
    <n v="476.35"/>
    <n v="499.79999999999995"/>
    <n v="461.3"/>
    <n v="502.59999999999997"/>
    <n v="0.94"/>
    <x v="0"/>
    <n v="488.07499999999999"/>
    <n v="1.3945000000000001"/>
  </r>
  <r>
    <n v="160"/>
    <n v="59"/>
    <n v="23"/>
    <n v="73"/>
    <n v="4"/>
    <n v="1.4359999999999999"/>
    <n v="1.361"/>
    <n v="1.4279999999999999"/>
    <n v="1.3180000000000001"/>
    <n v="52"/>
    <d v="1899-12-30T06:49:00"/>
    <d v="2025-08-09T00:00:00"/>
    <n v="0.95"/>
    <n v="1.048"/>
    <n v="1.4359999999999999"/>
    <n v="9"/>
    <x v="7"/>
    <x v="19"/>
    <x v="7"/>
    <n v="502.59999999999997"/>
    <n v="476.35"/>
    <n v="499.79999999999995"/>
    <n v="461.3"/>
    <n v="502.59999999999997"/>
    <n v="0.94"/>
    <x v="0"/>
    <n v="488.07499999999999"/>
    <n v="1.3945000000000001"/>
  </r>
  <r>
    <n v="188"/>
    <n v="59"/>
    <n v="23"/>
    <n v="96"/>
    <n v="9"/>
    <n v="1.4359999999999999"/>
    <n v="1.361"/>
    <n v="1.4279999999999999"/>
    <n v="1.3180000000000001"/>
    <n v="61"/>
    <d v="1899-12-30T06:58:00"/>
    <d v="2025-08-10T00:00:00"/>
    <n v="0.94"/>
    <n v="8.74"/>
    <n v="1.4359999999999999"/>
    <n v="10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215"/>
    <n v="59"/>
    <n v="23"/>
    <n v="118"/>
    <n v="13"/>
    <n v="1.4359999999999999"/>
    <n v="1.361"/>
    <n v="1.4279999999999999"/>
    <n v="1.3180000000000001"/>
    <n v="70"/>
    <d v="1899-12-30T06:47:00"/>
    <d v="2025-08-11T00:00:00"/>
    <n v="0.95"/>
    <n v="1.179"/>
    <n v="1.4359999999999999"/>
    <n v="11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243"/>
    <n v="71"/>
    <n v="28"/>
    <n v="129"/>
    <n v="13"/>
    <n v="1.4359999999999999"/>
    <n v="1.361"/>
    <n v="1.4279999999999999"/>
    <n v="1.3180000000000001"/>
    <n v="79"/>
    <d v="1899-12-30T07:06:00"/>
    <d v="2025-08-12T00:00:00"/>
    <n v="0.95"/>
    <n v="1.0740000000000001"/>
    <n v="1.4359999999999999"/>
    <n v="12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270"/>
    <n v="83"/>
    <n v="32"/>
    <n v="140"/>
    <n v="13"/>
    <n v="1.4359999999999999"/>
    <n v="1.361"/>
    <n v="1.4279999999999999"/>
    <n v="1.3180000000000001"/>
    <n v="81"/>
    <d v="1899-12-30T06:36:00"/>
    <d v="2025-08-13T00:00:00"/>
    <n v="0.96"/>
    <n v="1.0620000000000001"/>
    <n v="1.4359999999999999"/>
    <n v="13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297"/>
    <n v="95"/>
    <n v="37"/>
    <n v="151"/>
    <n v="13"/>
    <n v="1.4359999999999999"/>
    <n v="1.361"/>
    <n v="1.4279999999999999"/>
    <n v="1.3180000000000001"/>
    <n v="95"/>
    <d v="1899-12-30T06:43:00"/>
    <d v="2025-08-14T00:00:00"/>
    <n v="0.94"/>
    <n v="1.1679999999999999"/>
    <n v="1.4359999999999999"/>
    <n v="14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325"/>
    <n v="107"/>
    <n v="42"/>
    <n v="162"/>
    <n v="13"/>
    <n v="1.4359999999999999"/>
    <n v="1.361"/>
    <n v="1.4279999999999999"/>
    <n v="1.3180000000000001"/>
    <n v="103"/>
    <d v="1899-12-30T06:51:00"/>
    <d v="2025-08-15T00:00:00"/>
    <n v="0.95"/>
    <n v="1.085"/>
    <n v="1.4359999999999999"/>
    <n v="15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354"/>
    <n v="119"/>
    <n v="47"/>
    <n v="173"/>
    <n v="13"/>
    <n v="1.4359999999999999"/>
    <n v="1.361"/>
    <n v="1.4279999999999999"/>
    <n v="1.3180000000000001"/>
    <n v="112"/>
    <d v="1899-12-30T07:40:00"/>
    <d v="2025-08-16T00:00:00"/>
    <n v="0.95"/>
    <n v="1.143"/>
    <n v="1.4359999999999999"/>
    <n v="16"/>
    <x v="7"/>
    <x v="32"/>
    <x v="7"/>
    <n v="502.59999999999997"/>
    <n v="476.35"/>
    <n v="499.79999999999995"/>
    <n v="461.3"/>
    <n v="502.59999999999997"/>
    <n v="0.94"/>
    <x v="0"/>
    <n v="488.07499999999999"/>
    <n v="1.3945000000000001"/>
  </r>
  <r>
    <n v="382"/>
    <n v="119"/>
    <n v="47"/>
    <n v="196"/>
    <n v="18"/>
    <n v="1.4359999999999999"/>
    <n v="1.361"/>
    <n v="1.4279999999999999"/>
    <n v="1.3180000000000001"/>
    <n v="121"/>
    <d v="1899-12-30T07:00:00"/>
    <d v="2025-08-17T00:00:00"/>
    <n v="0.93"/>
    <n v="1.0049999999999999"/>
    <n v="1.4359999999999999"/>
    <n v="17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109"/>
    <n v="119"/>
    <n v="47"/>
    <n v="219"/>
    <n v="23"/>
    <n v="1.4359999999999999"/>
    <n v="1.361"/>
    <n v="1.4279999999999999"/>
    <n v="1.3180000000000001"/>
    <n v="131"/>
    <d v="1899-12-30T07:05:00"/>
    <d v="2025-08-18T00:00:00"/>
    <n v="0.93"/>
    <n v="1.101"/>
    <n v="1.4359999999999999"/>
    <n v="18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436"/>
    <n v="131"/>
    <n v="51"/>
    <n v="230"/>
    <n v="23"/>
    <n v="1.4359999999999999"/>
    <n v="1.361"/>
    <n v="1.4279999999999999"/>
    <n v="1.3180000000000001"/>
    <n v="139"/>
    <d v="1899-12-30T07:02:00"/>
    <d v="2025-08-19T00:00:00"/>
    <n v="0.96"/>
    <n v="1.0109999999999999"/>
    <n v="1.4359999999999999"/>
    <n v="19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463"/>
    <n v="143"/>
    <n v="56"/>
    <n v="240"/>
    <n v="23"/>
    <n v="1.4359999999999999"/>
    <n v="1.361"/>
    <n v="1.4279999999999999"/>
    <n v="1.3180000000000001"/>
    <n v="148"/>
    <d v="1899-12-30T06:40:00"/>
    <d v="2025-08-20T00:00:00"/>
    <n v="0.93"/>
    <n v="1.03"/>
    <n v="1.4359999999999999"/>
    <n v="20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491"/>
    <n v="155"/>
    <n v="61"/>
    <n v="251"/>
    <n v="23"/>
    <n v="1.4359999999999999"/>
    <n v="1.361"/>
    <n v="1.4279999999999999"/>
    <n v="1.3180000000000001"/>
    <n v="156"/>
    <d v="1899-12-30T06:27:00"/>
    <d v="2025-08-21T00:00:00"/>
    <n v="0.95"/>
    <n v="1.0469999999999999"/>
    <n v="1.4359999999999999"/>
    <n v="21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519"/>
    <n v="167"/>
    <n v="65"/>
    <n v="262"/>
    <n v="23"/>
    <n v="1.4359999999999999"/>
    <n v="1.361"/>
    <n v="1.4279999999999999"/>
    <n v="1.3180000000000001"/>
    <n v="164"/>
    <d v="1899-12-30T06:50:00"/>
    <d v="2025-08-22T00:00:00"/>
    <n v="0.94"/>
    <n v="1.163"/>
    <n v="1.4359999999999999"/>
    <n v="22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547"/>
    <n v="180"/>
    <n v="70"/>
    <n v="273"/>
    <n v="23"/>
    <n v="1.4359999999999999"/>
    <n v="1.361"/>
    <n v="1.4279999999999999"/>
    <n v="1.3180000000000001"/>
    <n v="111"/>
    <d v="1899-12-30T06:55:00"/>
    <d v="2025-08-23T00:00:00"/>
    <n v="0.99"/>
    <n v="1.056"/>
    <n v="1.4359999999999999"/>
    <n v="23"/>
    <x v="7"/>
    <x v="33"/>
    <x v="7"/>
    <n v="502.59999999999997"/>
    <n v="476.35"/>
    <n v="499.79999999999995"/>
    <n v="461.3"/>
    <n v="502.59999999999997"/>
    <n v="0.94"/>
    <x v="0"/>
    <n v="488.07499999999999"/>
    <n v="1.3945000000000001"/>
  </r>
  <r>
    <n v="576"/>
    <n v="180"/>
    <n v="70"/>
    <n v="297"/>
    <n v="28"/>
    <n v="1.4359999999999999"/>
    <n v="1.361"/>
    <n v="1.4350000000000001"/>
    <n v="1.34"/>
    <n v="175"/>
    <d v="1899-12-30T07:10:00"/>
    <d v="2025-08-24T00:00:00"/>
    <n v="0.99"/>
    <n v="9.73"/>
    <n v="1.4359999999999999"/>
    <n v="24"/>
    <x v="7"/>
    <x v="34"/>
    <x v="7"/>
    <n v="502.59999999999997"/>
    <n v="476.35"/>
    <n v="502.25"/>
    <n v="469"/>
    <n v="502.59999999999997"/>
    <n v="0.94"/>
    <x v="0"/>
    <n v="489.3"/>
    <n v="1.3980000000000001"/>
  </r>
  <r>
    <n v="605"/>
    <n v="180"/>
    <n v="70"/>
    <n v="321"/>
    <n v="33"/>
    <n v="1.4359999999999999"/>
    <n v="1.361"/>
    <n v="1.4350000000000001"/>
    <n v="1.3460000000000001"/>
    <n v="178"/>
    <d v="1899-12-30T07:26:00"/>
    <d v="2025-08-25T00:00:00"/>
    <n v="0.99"/>
    <n v="1.171"/>
    <n v="1.4359999999999999"/>
    <n v="25"/>
    <x v="7"/>
    <x v="34"/>
    <x v="7"/>
    <n v="502.59999999999997"/>
    <n v="476.35"/>
    <n v="502.25"/>
    <n v="471.1"/>
    <n v="502.59999999999997"/>
    <n v="0.94"/>
    <x v="0"/>
    <n v="489.3"/>
    <n v="1.3980000000000001"/>
  </r>
  <r>
    <n v="634"/>
    <n v="192"/>
    <n v="75"/>
    <n v="333"/>
    <n v="33"/>
    <n v="1.4359999999999999"/>
    <n v="1.375"/>
    <n v="1.4350000000000001"/>
    <n v="1.3460000000000001"/>
    <n v="181"/>
    <d v="1899-12-30T07:20:00"/>
    <d v="2025-08-26T00:00:00"/>
    <n v="0.99"/>
    <n v="1.262"/>
    <n v="1.4359999999999999"/>
    <n v="26"/>
    <x v="7"/>
    <x v="34"/>
    <x v="7"/>
    <n v="502.59999999999997"/>
    <n v="481.25"/>
    <n v="502.25"/>
    <n v="471.1"/>
    <n v="502.59999999999997"/>
    <n v="0.94"/>
    <x v="0"/>
    <n v="491.75"/>
    <n v="1.405"/>
  </r>
  <r>
    <n v="662"/>
    <n v="205"/>
    <n v="80"/>
    <n v="343"/>
    <n v="33"/>
    <n v="1.4359999999999999"/>
    <n v="1.429"/>
    <n v="1.4350000000000001"/>
    <n v="1.3460000000000001"/>
    <n v="183"/>
    <d v="1899-12-30T06:44:00"/>
    <d v="2025-08-27T00:00:00"/>
    <n v="0.99"/>
    <n v="1.077"/>
    <n v="1.4359999999999999"/>
    <n v="27"/>
    <x v="7"/>
    <x v="34"/>
    <x v="7"/>
    <n v="502.59999999999997"/>
    <n v="500.15000000000003"/>
    <n v="502.25"/>
    <n v="471.1"/>
    <n v="502.59999999999997"/>
    <n v="0.94"/>
    <x v="0"/>
    <n v="501.20000000000005"/>
    <n v="1.4320000000000002"/>
  </r>
  <r>
    <n v="696"/>
    <n v="217"/>
    <n v="85"/>
    <n v="354"/>
    <n v="33"/>
    <n v="1.4359999999999999"/>
    <n v="1.429"/>
    <n v="1.4350000000000001"/>
    <n v="1.3460000000000001"/>
    <n v="186"/>
    <d v="1899-12-30T06:39:00"/>
    <d v="2025-08-28T00:00:00"/>
    <n v="0.99"/>
    <n v="1.0349999999999999"/>
    <n v="1.4359999999999999"/>
    <n v="28"/>
    <x v="7"/>
    <x v="34"/>
    <x v="7"/>
    <n v="502.59999999999997"/>
    <n v="500.15000000000003"/>
    <n v="502.25"/>
    <n v="471.1"/>
    <n v="502.59999999999997"/>
    <n v="0.94"/>
    <x v="0"/>
    <n v="501.20000000000005"/>
    <n v="1.4320000000000002"/>
  </r>
  <r>
    <n v="719"/>
    <n v="230"/>
    <n v="90"/>
    <n v="365"/>
    <n v="33"/>
    <n v="1.5"/>
    <n v="1.429"/>
    <n v="1.4350000000000001"/>
    <n v="1.3460000000000001"/>
    <n v="189"/>
    <d v="1899-12-30T06:50:00"/>
    <d v="2025-08-29T00:00:00"/>
    <n v="0.99"/>
    <n v="1.0429999999999999"/>
    <n v="1.5"/>
    <n v="29"/>
    <x v="7"/>
    <x v="34"/>
    <x v="7"/>
    <n v="525"/>
    <n v="500.15000000000003"/>
    <n v="502.25"/>
    <n v="471.1"/>
    <n v="525"/>
    <n v="0.94"/>
    <x v="0"/>
    <n v="501.20000000000005"/>
    <n v="1.4320000000000002"/>
  </r>
  <r>
    <n v="749"/>
    <n v="243"/>
    <n v="95"/>
    <n v="377"/>
    <n v="33"/>
    <n v="1.5"/>
    <n v="1.429"/>
    <n v="1.4350000000000001"/>
    <n v="1.3460000000000001"/>
    <n v="192"/>
    <d v="1899-12-30T06:50:00"/>
    <d v="2025-08-30T00:00:00"/>
    <n v="0.99"/>
    <n v="1.0309999999999999"/>
    <n v="1.5"/>
    <n v="30"/>
    <x v="7"/>
    <x v="34"/>
    <x v="7"/>
    <n v="525"/>
    <n v="500.15000000000003"/>
    <n v="502.25"/>
    <n v="471.1"/>
    <n v="525"/>
    <n v="0.94"/>
    <x v="0"/>
    <n v="501.20000000000005"/>
    <n v="1.4320000000000002"/>
  </r>
  <r>
    <n v="779"/>
    <n v="243"/>
    <n v="95"/>
    <n v="402"/>
    <n v="37"/>
    <n v="1.5"/>
    <n v="1.429"/>
    <n v="1.496"/>
    <n v="1.3460000000000001"/>
    <n v="195"/>
    <d v="1899-12-30T07:06:00"/>
    <d v="2025-08-31T00:00:00"/>
    <n v="0.99"/>
    <n v="1.2030000000000001"/>
    <n v="1.5"/>
    <n v="31"/>
    <x v="7"/>
    <x v="12"/>
    <x v="7"/>
    <n v="525"/>
    <n v="500.15000000000003"/>
    <n v="523.6"/>
    <n v="471.1"/>
    <n v="525"/>
    <n v="0.94"/>
    <x v="0"/>
    <n v="511.875"/>
    <n v="1.4624999999999999"/>
  </r>
  <r>
    <n v="808"/>
    <n v="243"/>
    <n v="95"/>
    <n v="427"/>
    <n v="42"/>
    <n v="0"/>
    <n v="0"/>
    <n v="1.3"/>
    <n v="0"/>
    <n v="198"/>
    <d v="1899-12-30T07:50:00"/>
    <d v="2025-09-01T00:00:00"/>
    <n v="0.99"/>
    <n v="1.202"/>
    <n v="1.3"/>
    <n v="1"/>
    <x v="8"/>
    <x v="12"/>
    <x v="8"/>
    <n v="0"/>
    <n v="0"/>
    <n v="455"/>
    <n v="0"/>
    <n v="455"/>
    <n v="0.94"/>
    <x v="0"/>
    <n v="0"/>
    <n v="0"/>
  </r>
  <r>
    <n v="837"/>
    <n v="255"/>
    <n v="100"/>
    <n v="438"/>
    <n v="42"/>
    <n v="1.454"/>
    <n v="1.288"/>
    <n v="1.3"/>
    <n v="0"/>
    <n v="200"/>
    <d v="1899-12-30T07:31:00"/>
    <d v="2025-09-02T00:00:00"/>
    <n v="0.99"/>
    <n v="1.054"/>
    <n v="1.454"/>
    <n v="2"/>
    <x v="8"/>
    <x v="12"/>
    <x v="8"/>
    <n v="508.9"/>
    <n v="450.8"/>
    <n v="455"/>
    <n v="0"/>
    <n v="508.9"/>
    <n v="0.94"/>
    <x v="0"/>
    <n v="452.9"/>
    <n v="1.294"/>
  </r>
  <r>
    <n v="864"/>
    <n v="267"/>
    <n v="105"/>
    <n v="448"/>
    <n v="42"/>
    <n v="1.454"/>
    <n v="1.3169999999999999"/>
    <n v="1.3"/>
    <n v="0"/>
    <n v="203"/>
    <d v="1899-12-30T06:42:00"/>
    <d v="2025-09-03T00:00:00"/>
    <n v="0.99"/>
    <n v="1.1599999999999999"/>
    <n v="1.454"/>
    <n v="3"/>
    <x v="8"/>
    <x v="12"/>
    <x v="8"/>
    <n v="508.9"/>
    <n v="460.95"/>
    <n v="455"/>
    <n v="0"/>
    <n v="508.9"/>
    <n v="0.94"/>
    <x v="0"/>
    <n v="457.97500000000002"/>
    <n v="1.3085"/>
  </r>
  <r>
    <n v="893"/>
    <n v="280"/>
    <n v="110"/>
    <n v="459"/>
    <n v="42"/>
    <n v="1.454"/>
    <n v="1.379"/>
    <n v="1.355"/>
    <n v="0"/>
    <n v="206"/>
    <d v="1899-12-30T06:32:00"/>
    <d v="2025-09-04T00:00:00"/>
    <n v="0.99"/>
    <n v="1.0609999999999999"/>
    <n v="1.454"/>
    <n v="4"/>
    <x v="8"/>
    <x v="12"/>
    <x v="8"/>
    <n v="508.9"/>
    <n v="482.65"/>
    <n v="474.25"/>
    <n v="0"/>
    <n v="508.9"/>
    <n v="0.94"/>
    <x v="0"/>
    <n v="478.45"/>
    <n v="1.367"/>
  </r>
  <r>
    <n v="922"/>
    <n v="282"/>
    <n v="115"/>
    <n v="471"/>
    <n v="42"/>
    <n v="1.454"/>
    <n v="1.379"/>
    <n v="1.355"/>
    <n v="0"/>
    <n v="208"/>
    <d v="1899-12-30T06:50:00"/>
    <d v="2025-09-05T00:00:00"/>
    <n v="0.99"/>
    <n v="1.0509999999999999"/>
    <n v="1.454"/>
    <n v="5"/>
    <x v="8"/>
    <x v="12"/>
    <x v="8"/>
    <n v="508.9"/>
    <n v="482.65"/>
    <n v="474.25"/>
    <n v="0"/>
    <n v="508.9"/>
    <n v="0.94"/>
    <x v="0"/>
    <n v="478.45"/>
    <n v="1.367"/>
  </r>
  <r>
    <n v="952"/>
    <n v="305"/>
    <n v="120"/>
    <n v="483"/>
    <n v="42"/>
    <n v="1.454"/>
    <n v="1.379"/>
    <n v="1.355"/>
    <n v="0"/>
    <n v="211"/>
    <d v="1899-12-30T06:49:00"/>
    <d v="2025-09-06T00:00:00"/>
    <n v="0.98"/>
    <n v="1.1950000000000001"/>
    <n v="1.454"/>
    <n v="6"/>
    <x v="8"/>
    <x v="12"/>
    <x v="8"/>
    <n v="508.9"/>
    <n v="482.65"/>
    <n v="474.25"/>
    <n v="0"/>
    <n v="508.9"/>
    <n v="0.94"/>
    <x v="0"/>
    <n v="478.45"/>
    <n v="1.367"/>
  </r>
  <r>
    <n v="981"/>
    <n v="305"/>
    <n v="120"/>
    <n v="508"/>
    <n v="47"/>
    <n v="1.454"/>
    <n v="1.379"/>
    <n v="1.5089999999999999"/>
    <n v="1.3440000000000001"/>
    <n v="214"/>
    <d v="1899-12-30T07:46:00"/>
    <d v="2025-09-07T00:00:00"/>
    <n v="0.99"/>
    <n v="1.1200000000000001"/>
    <n v="1.5089999999999999"/>
    <n v="7"/>
    <x v="8"/>
    <x v="35"/>
    <x v="8"/>
    <n v="508.9"/>
    <n v="482.65"/>
    <n v="528.15"/>
    <n v="470.40000000000003"/>
    <n v="528.15"/>
    <n v="0.94"/>
    <x v="0"/>
    <n v="495.77499999999998"/>
    <n v="1.4164999999999999"/>
  </r>
  <r>
    <n v="1009"/>
    <n v="305"/>
    <n v="120"/>
    <n v="532"/>
    <n v="52"/>
    <n v="1.454"/>
    <n v="1.379"/>
    <n v="1.5089999999999999"/>
    <n v="1.3440000000000001"/>
    <n v="217"/>
    <d v="1899-12-30T07:04:00"/>
    <d v="2025-09-08T00:00:00"/>
    <n v="0.99"/>
    <n v="1.08"/>
    <n v="1.5089999999999999"/>
    <n v="8"/>
    <x v="8"/>
    <x v="35"/>
    <x v="8"/>
    <n v="508.9"/>
    <n v="482.65"/>
    <n v="528.15"/>
    <n v="470.40000000000003"/>
    <n v="528.15"/>
    <n v="0.94"/>
    <x v="0"/>
    <n v="495.77499999999998"/>
    <n v="1.4164999999999999"/>
  </r>
  <r>
    <n v="1039"/>
    <n v="318"/>
    <n v="124"/>
    <n v="543"/>
    <n v="52"/>
    <n v="1.454"/>
    <n v="1.4410000000000001"/>
    <n v="1.5089999999999999"/>
    <n v="1.3440000000000001"/>
    <n v="219"/>
    <d v="1899-12-30T07:06:00"/>
    <d v="2025-09-09T00:00:00"/>
    <n v="0.98"/>
    <n v="1.171"/>
    <n v="1.5089999999999999"/>
    <n v="9"/>
    <x v="8"/>
    <x v="35"/>
    <x v="8"/>
    <n v="508.9"/>
    <n v="504.35"/>
    <n v="528.15"/>
    <n v="470.40000000000003"/>
    <n v="528.15"/>
    <n v="0.94"/>
    <x v="0"/>
    <n v="506.625"/>
    <n v="1.4475"/>
  </r>
  <r>
    <n v="1067"/>
    <n v="330"/>
    <n v="129"/>
    <n v="554"/>
    <n v="52"/>
    <n v="1.454"/>
    <n v="1.4410000000000001"/>
    <n v="1.5089999999999999"/>
    <n v="1.3440000000000001"/>
    <n v="222"/>
    <d v="1899-12-30T06:44:00"/>
    <d v="2025-09-10T00:00:00"/>
    <n v="0.99"/>
    <n v="1.141"/>
    <n v="1.5089999999999999"/>
    <n v="10"/>
    <x v="8"/>
    <x v="35"/>
    <x v="8"/>
    <n v="508.9"/>
    <n v="504.35"/>
    <n v="528.15"/>
    <n v="470.40000000000003"/>
    <n v="528.15"/>
    <n v="0.94"/>
    <x v="0"/>
    <n v="506.625"/>
    <n v="1.4475"/>
  </r>
  <r>
    <n v="1096"/>
    <n v="343"/>
    <n v="134"/>
    <n v="565"/>
    <n v="52"/>
    <n v="1.454"/>
    <n v="1.4410000000000001"/>
    <n v="1.5089999999999999"/>
    <n v="1.3440000000000001"/>
    <n v="225"/>
    <d v="1899-12-30T07:37:00"/>
    <d v="2025-09-11T00:00:00"/>
    <n v="0.99"/>
    <n v="1.05"/>
    <n v="1.5089999999999999"/>
    <n v="11"/>
    <x v="8"/>
    <x v="35"/>
    <x v="8"/>
    <n v="508.9"/>
    <n v="504.35"/>
    <n v="528.15"/>
    <n v="470.40000000000003"/>
    <n v="528.15"/>
    <n v="0.94"/>
    <x v="0"/>
    <n v="506.625"/>
    <n v="1.4475"/>
  </r>
  <r>
    <n v="1127"/>
    <n v="356"/>
    <n v="140"/>
    <n v="577"/>
    <n v="52"/>
    <n v="1.478"/>
    <n v="1.5069999999999999"/>
    <n v="1.5089999999999999"/>
    <n v="1.3440000000000001"/>
    <n v="228"/>
    <d v="1899-12-30T06:50:00"/>
    <d v="2025-09-12T00:00:00"/>
    <n v="0.99"/>
    <n v="1.423"/>
    <n v="1.5089999999999999"/>
    <n v="12"/>
    <x v="8"/>
    <x v="35"/>
    <x v="8"/>
    <n v="517.29999999999995"/>
    <n v="527.44999999999993"/>
    <n v="528.15"/>
    <n v="470.40000000000003"/>
    <n v="528.15"/>
    <n v="0.94"/>
    <x v="0"/>
    <n v="522.375"/>
    <n v="1.4924999999999999"/>
  </r>
  <r>
    <n v="1157"/>
    <n v="369"/>
    <n v="145"/>
    <n v="589"/>
    <n v="52"/>
    <n v="1.617"/>
    <n v="1.5069999999999999"/>
    <n v="1.5089999999999999"/>
    <n v="1.3440000000000001"/>
    <n v="234"/>
    <d v="1899-12-30T06:55:00"/>
    <d v="2025-09-13T00:00:00"/>
    <n v="0.98"/>
    <n v="1.085"/>
    <n v="1.617"/>
    <n v="13"/>
    <x v="8"/>
    <x v="35"/>
    <x v="8"/>
    <n v="565.95000000000005"/>
    <n v="527.44999999999993"/>
    <n v="528.15"/>
    <n v="470.40000000000003"/>
    <n v="565.95000000000005"/>
    <n v="0.94"/>
    <x v="0"/>
    <n v="527.79999999999995"/>
    <n v="1.5079999999999998"/>
  </r>
  <r>
    <n v="1187"/>
    <n v="369"/>
    <n v="145"/>
    <n v="609"/>
    <n v="62"/>
    <n v="1.617"/>
    <n v="1.5069999999999999"/>
    <n v="1.5089999999999999"/>
    <n v="1.4259999999999999"/>
    <n v="234"/>
    <d v="1899-12-30T07:08:00"/>
    <d v="2025-09-14T00:00:00"/>
    <n v="0.99"/>
    <n v="1.02"/>
    <n v="1.617"/>
    <n v="14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214"/>
    <n v="369"/>
    <n v="145"/>
    <n v="637"/>
    <n v="62"/>
    <n v="1.617"/>
    <n v="1.5069999999999999"/>
    <n v="1.5089999999999999"/>
    <n v="1.4259999999999999"/>
    <n v="237"/>
    <d v="1899-12-30T07:00:00"/>
    <d v="2025-09-15T00:00:00"/>
    <n v="0.99"/>
    <n v="1.012"/>
    <n v="1.617"/>
    <n v="15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244"/>
    <n v="382"/>
    <n v="150"/>
    <n v="649"/>
    <n v="62"/>
    <n v="1.617"/>
    <n v="1.5069999999999999"/>
    <n v="1.5089999999999999"/>
    <n v="1.4259999999999999"/>
    <n v="241"/>
    <d v="1899-12-30T07:04:00"/>
    <d v="2025-09-16T00:00:00"/>
    <n v="0.99"/>
    <n v="9.92"/>
    <n v="1.617"/>
    <n v="16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285"/>
    <n v="405"/>
    <n v="155"/>
    <n v="661"/>
    <n v="62"/>
    <n v="1.617"/>
    <n v="1.5069999999999999"/>
    <n v="1.5089999999999999"/>
    <n v="1.4259999999999999"/>
    <n v="245"/>
    <d v="1899-12-30T15:35:00"/>
    <d v="2025-09-17T00:00:00"/>
    <n v="0.98"/>
    <n v="1.296"/>
    <n v="1.617"/>
    <n v="17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301"/>
    <n v="409"/>
    <n v="160"/>
    <n v="672"/>
    <n v="62"/>
    <n v="1.617"/>
    <n v="1.5069999999999999"/>
    <n v="1.5089999999999999"/>
    <n v="1.4259999999999999"/>
    <n v="247"/>
    <d v="1899-12-30T07:12:00"/>
    <d v="2025-09-18T00:00:00"/>
    <n v="0.99"/>
    <n v="9.9499999999999993"/>
    <n v="1.617"/>
    <n v="18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335"/>
    <n v="422"/>
    <n v="165"/>
    <n v="684"/>
    <n v="62"/>
    <n v="1.617"/>
    <n v="1.5069999999999999"/>
    <n v="1.5089999999999999"/>
    <n v="1.4259999999999999"/>
    <n v="251"/>
    <d v="1899-12-30T06:40:00"/>
    <d v="2025-09-19T00:00:00"/>
    <n v="0.99"/>
    <n v="1.2350000000000001"/>
    <n v="1.617"/>
    <n v="19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365"/>
    <n v="435"/>
    <n v="170"/>
    <n v="696"/>
    <n v="62"/>
    <n v="1.617"/>
    <n v="1.5069999999999999"/>
    <n v="1.5089999999999999"/>
    <n v="1.4259999999999999"/>
    <n v="254"/>
    <d v="1899-12-30T06:52:00"/>
    <d v="2025-09-20T00:00:00"/>
    <n v="0.99"/>
    <n v="1.1910000000000001"/>
    <n v="1.617"/>
    <n v="20"/>
    <x v="8"/>
    <x v="36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395"/>
    <n v="435"/>
    <n v="170"/>
    <n v="721"/>
    <n v="67"/>
    <n v="1.617"/>
    <n v="1.5069999999999999"/>
    <n v="1.5089999999999999"/>
    <n v="1.4259999999999999"/>
    <n v="258"/>
    <d v="1899-12-30T07:00:00"/>
    <d v="2025-09-21T00:00:00"/>
    <n v="0.99"/>
    <n v="9.82"/>
    <n v="1.617"/>
    <n v="21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425"/>
    <n v="435"/>
    <n v="170"/>
    <n v="743"/>
    <n v="72"/>
    <n v="1.617"/>
    <n v="1.5069999999999999"/>
    <n v="1.5089999999999999"/>
    <n v="1.4259999999999999"/>
    <n v="261"/>
    <d v="1899-12-30T07:12:00"/>
    <d v="2025-09-22T00:00:00"/>
    <n v="0.99"/>
    <n v="1.042"/>
    <n v="1.617"/>
    <n v="22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458"/>
    <n v="451"/>
    <n v="176"/>
    <n v="758"/>
    <n v="72"/>
    <n v="1.617"/>
    <n v="1.5069999999999999"/>
    <n v="1.5089999999999999"/>
    <n v="1.4259999999999999"/>
    <n v="264"/>
    <d v="1899-12-30T10:24:00"/>
    <d v="2025-09-23T00:00:00"/>
    <n v="0.99"/>
    <n v="1.1830000000000001"/>
    <n v="1.617"/>
    <n v="23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482"/>
    <n v="460"/>
    <n v="181"/>
    <n v="768"/>
    <n v="72"/>
    <n v="1.617"/>
    <n v="1.5069999999999999"/>
    <n v="1.5089999999999999"/>
    <n v="1.4259999999999999"/>
    <n v="267"/>
    <d v="1899-12-30T06:29:00"/>
    <d v="2025-09-24T00:00:00"/>
    <n v="0.99"/>
    <n v="8.98"/>
    <n v="1.617"/>
    <n v="24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512"/>
    <n v="473"/>
    <n v="186"/>
    <n v="779"/>
    <n v="72"/>
    <n v="1.617"/>
    <n v="1.5069999999999999"/>
    <n v="1.5089999999999999"/>
    <n v="1.4259999999999999"/>
    <n v="269"/>
    <d v="1899-12-30T06:36:00"/>
    <d v="2025-09-25T00:00:00"/>
    <n v="0.99"/>
    <n v="1.165"/>
    <n v="1.617"/>
    <n v="25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543"/>
    <n v="486"/>
    <n v="191"/>
    <n v="792"/>
    <n v="72"/>
    <n v="1.617"/>
    <n v="1.5069999999999999"/>
    <n v="1.5089999999999999"/>
    <n v="1.4259999999999999"/>
    <n v="273"/>
    <d v="1899-12-30T08:10:00"/>
    <d v="2025-09-26T00:00:00"/>
    <n v="0.99"/>
    <n v="1.151"/>
    <n v="1.617"/>
    <n v="26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571"/>
    <n v="499"/>
    <n v="196"/>
    <n v="802"/>
    <n v="72"/>
    <n v="1.617"/>
    <n v="1.5069999999999999"/>
    <n v="1.5089999999999999"/>
    <n v="1.4259999999999999"/>
    <n v="277"/>
    <d v="1899-12-30T06:34:00"/>
    <d v="2025-09-27T00:00:00"/>
    <n v="0.99"/>
    <n v="9.92"/>
    <n v="1.617"/>
    <n v="27"/>
    <x v="8"/>
    <x v="37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600"/>
    <n v="499"/>
    <n v="196"/>
    <n v="827"/>
    <n v="77"/>
    <n v="1.617"/>
    <n v="1.5069999999999999"/>
    <n v="1.5089999999999999"/>
    <n v="1.4259999999999999"/>
    <n v="280"/>
    <d v="1899-12-30T06:36:00"/>
    <d v="2025-09-28T00:00:00"/>
    <n v="0.99"/>
    <n v="1.054"/>
    <n v="1.617"/>
    <n v="28"/>
    <x v="8"/>
    <x v="13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628"/>
    <n v="499"/>
    <n v="196"/>
    <n v="850"/>
    <n v="82"/>
    <n v="1.617"/>
    <n v="1.5069999999999999"/>
    <n v="1.5089999999999999"/>
    <n v="1.4259999999999999"/>
    <n v="283"/>
    <d v="1899-12-30T06:37:00"/>
    <d v="2025-09-29T00:00:00"/>
    <n v="0.99"/>
    <n v="1.173"/>
    <n v="1.617"/>
    <n v="29"/>
    <x v="8"/>
    <x v="13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657"/>
    <n v="512"/>
    <n v="201"/>
    <n v="861"/>
    <n v="82"/>
    <n v="1.617"/>
    <n v="1.5069999999999999"/>
    <n v="1.5089999999999999"/>
    <n v="1.4259999999999999"/>
    <n v="287"/>
    <d v="1899-12-30T06:34:00"/>
    <d v="2025-09-30T00:00:00"/>
    <n v="0.99"/>
    <n v="1.07"/>
    <n v="1.617"/>
    <n v="30"/>
    <x v="8"/>
    <x v="13"/>
    <x v="8"/>
    <n v="565.95000000000005"/>
    <n v="527.44999999999993"/>
    <n v="528.15"/>
    <n v="499.09999999999997"/>
    <n v="565.95000000000005"/>
    <n v="0.94"/>
    <x v="0"/>
    <n v="527.79999999999995"/>
    <n v="1.5079999999999998"/>
  </r>
  <r>
    <n v="1687"/>
    <n v="525"/>
    <n v="206"/>
    <n v="873"/>
    <n v="82"/>
    <n v="0"/>
    <n v="0"/>
    <n v="1.26"/>
    <n v="0"/>
    <n v="290"/>
    <d v="1899-12-30T06:36:00"/>
    <d v="2025-10-01T00:00:00"/>
    <n v="0.99"/>
    <n v="1.302"/>
    <n v="1.26"/>
    <n v="1"/>
    <x v="9"/>
    <x v="13"/>
    <x v="9"/>
    <n v="0"/>
    <n v="0"/>
    <n v="441"/>
    <n v="0"/>
    <n v="441"/>
    <n v="0.94"/>
    <x v="0"/>
    <n v="0"/>
    <n v="0"/>
  </r>
  <r>
    <n v="1717"/>
    <n v="538"/>
    <n v="211"/>
    <n v="885"/>
    <n v="82"/>
    <n v="1.484"/>
    <n v="1.4279999999999999"/>
    <n v="1.331"/>
    <n v="0"/>
    <n v="293"/>
    <d v="1899-12-30T06:44:00"/>
    <d v="2025-10-02T00:00:00"/>
    <n v="0.99"/>
    <n v="9.98"/>
    <n v="1.484"/>
    <n v="2"/>
    <x v="9"/>
    <x v="13"/>
    <x v="9"/>
    <n v="519.4"/>
    <n v="499.79999999999995"/>
    <n v="465.84999999999997"/>
    <n v="0"/>
    <n v="519.4"/>
    <n v="0.94"/>
    <x v="0"/>
    <n v="482.82499999999993"/>
    <n v="1.3794999999999997"/>
  </r>
  <r>
    <n v="1746"/>
    <n v="551"/>
    <n v="216"/>
    <n v="896"/>
    <n v="82"/>
    <n v="1.484"/>
    <n v="1.4470000000000001"/>
    <n v="1.331"/>
    <n v="0"/>
    <n v="295"/>
    <d v="1899-12-30T07:03:00"/>
    <d v="2025-10-03T00:00:00"/>
    <n v="0.99"/>
    <n v="1.087"/>
    <n v="1.484"/>
    <n v="3"/>
    <x v="9"/>
    <x v="13"/>
    <x v="9"/>
    <n v="519.4"/>
    <n v="506.45000000000005"/>
    <n v="465.84999999999997"/>
    <n v="0"/>
    <n v="519.4"/>
    <n v="0.94"/>
    <x v="0"/>
    <n v="486.15"/>
    <n v="1.389"/>
  </r>
  <r>
    <n v="1775"/>
    <n v="563"/>
    <n v="221"/>
    <n v="907"/>
    <n v="82"/>
    <n v="1.484"/>
    <n v="1.4470000000000001"/>
    <n v="1.331"/>
    <n v="0"/>
    <n v="299"/>
    <d v="1899-12-30T06:31:00"/>
    <d v="2025-10-04T00:00:00"/>
    <n v="0.99"/>
    <n v="1.2629999999999999"/>
    <n v="1.484"/>
    <n v="4"/>
    <x v="9"/>
    <x v="13"/>
    <x v="9"/>
    <n v="519.4"/>
    <n v="506.45000000000005"/>
    <n v="465.84999999999997"/>
    <n v="0"/>
    <n v="519.4"/>
    <n v="0.94"/>
    <x v="0"/>
    <n v="486.15"/>
    <n v="1.389"/>
  </r>
  <r>
    <n v="1805"/>
    <n v="563"/>
    <n v="221"/>
    <n v="932"/>
    <n v="87"/>
    <n v="1.484"/>
    <n v="1.4470000000000001"/>
    <n v="1.419"/>
    <n v="1.3460000000000001"/>
    <n v="302"/>
    <d v="1899-12-30T06:32:00"/>
    <d v="2025-10-05T00:00:00"/>
    <n v="0.99"/>
    <n v="1.129"/>
    <n v="1.484"/>
    <n v="5"/>
    <x v="9"/>
    <x v="38"/>
    <x v="9"/>
    <n v="519.4"/>
    <n v="506.45000000000005"/>
    <n v="496.65000000000003"/>
    <n v="471.1"/>
    <n v="519.4"/>
    <n v="0.94"/>
    <x v="0"/>
    <n v="501.55000000000007"/>
    <n v="1.4330000000000003"/>
  </r>
  <r>
    <n v="1834"/>
    <n v="563"/>
    <n v="221"/>
    <n v="957"/>
    <n v="91"/>
    <n v="1.484"/>
    <n v="1.4470000000000001"/>
    <n v="1.4279999999999999"/>
    <n v="1.355"/>
    <n v="305"/>
    <d v="1899-12-30T07:11:00"/>
    <d v="2025-10-06T00:00:00"/>
    <n v="0.98"/>
    <n v="1.137"/>
    <n v="1.484"/>
    <n v="6"/>
    <x v="9"/>
    <x v="38"/>
    <x v="9"/>
    <n v="519.4"/>
    <n v="506.45000000000005"/>
    <n v="499.79999999999995"/>
    <n v="474.25"/>
    <n v="519.4"/>
    <n v="0.94"/>
    <x v="0"/>
    <n v="503.125"/>
    <n v="1.4375"/>
  </r>
  <r>
    <n v="1863"/>
    <n v="576"/>
    <n v="226"/>
    <n v="968"/>
    <n v="91"/>
    <n v="1.484"/>
    <n v="1.4470000000000001"/>
    <n v="1.4279999999999999"/>
    <n v="1.355"/>
    <n v="305"/>
    <d v="1899-12-30T07:19:00"/>
    <d v="2025-10-07T00:00:00"/>
    <n v="0.99"/>
    <n v="1.016"/>
    <n v="1.484"/>
    <n v="7"/>
    <x v="9"/>
    <x v="38"/>
    <x v="9"/>
    <n v="519.4"/>
    <n v="506.45000000000005"/>
    <n v="499.79999999999995"/>
    <n v="474.25"/>
    <n v="519.4"/>
    <n v="0.94"/>
    <x v="0"/>
    <n v="503.125"/>
    <n v="1.4375"/>
  </r>
  <r>
    <n v="1892"/>
    <n v="588"/>
    <n v="231"/>
    <n v="979"/>
    <n v="91"/>
    <n v="1.484"/>
    <n v="1.4410000000000001"/>
    <n v="1.4279999999999999"/>
    <n v="1.355"/>
    <n v="310"/>
    <d v="1899-12-30T06:36:00"/>
    <d v="2025-10-08T00:00:00"/>
    <n v="0.99"/>
    <n v="1.2290000000000001"/>
    <n v="1.484"/>
    <n v="8"/>
    <x v="9"/>
    <x v="38"/>
    <x v="9"/>
    <n v="519.4"/>
    <n v="504.35"/>
    <n v="499.79999999999995"/>
    <n v="474.25"/>
    <n v="519.4"/>
    <n v="0.94"/>
    <x v="0"/>
    <n v="502.07499999999999"/>
    <n v="1.4344999999999999"/>
  </r>
  <r>
    <n v="1922"/>
    <n v="601"/>
    <n v="237"/>
    <n v="991"/>
    <n v="91"/>
    <n v="1.484"/>
    <n v="1.452"/>
    <n v="1.4279999999999999"/>
    <n v="1.409"/>
    <n v="313"/>
    <d v="1899-12-30T06:38:00"/>
    <d v="2025-10-09T00:00:00"/>
    <n v="0.99"/>
    <n v="1.024"/>
    <n v="1.484"/>
    <n v="9"/>
    <x v="9"/>
    <x v="38"/>
    <x v="9"/>
    <n v="519.4"/>
    <n v="508.2"/>
    <n v="499.79999999999995"/>
    <n v="493.15000000000003"/>
    <n v="519.4"/>
    <n v="0.94"/>
    <x v="0"/>
    <n v="504"/>
    <n v="1.44"/>
  </r>
  <r>
    <n v="1953"/>
    <n v="601"/>
    <n v="237"/>
    <n v="1018"/>
    <n v="97"/>
    <n v="1.484"/>
    <n v="1.452"/>
    <n v="1.456"/>
    <n v="1.409"/>
    <n v="317"/>
    <d v="1899-12-30T07:11:00"/>
    <d v="2025-10-10T00:00:00"/>
    <n v="0.99"/>
    <n v="1.099"/>
    <n v="1.484"/>
    <n v="10"/>
    <x v="9"/>
    <x v="38"/>
    <x v="9"/>
    <n v="519.4"/>
    <n v="508.2"/>
    <n v="509.59999999999997"/>
    <n v="493.15000000000003"/>
    <n v="519.4"/>
    <n v="0.94"/>
    <x v="0"/>
    <n v="508.9"/>
    <n v="1.454"/>
  </r>
  <r>
    <n v="1986"/>
    <n v="615"/>
    <n v="242"/>
    <n v="1031"/>
    <n v="97"/>
    <n v="1.581"/>
    <n v="1.4650000000000001"/>
    <n v="1.456"/>
    <n v="1.409"/>
    <n v="320"/>
    <d v="1899-12-30T07:54:00"/>
    <d v="2025-10-11T00:00:00"/>
    <n v="0.99"/>
    <n v="1.149"/>
    <n v="1.581"/>
    <n v="11"/>
    <x v="9"/>
    <x v="38"/>
    <x v="9"/>
    <n v="553.35"/>
    <n v="512.75"/>
    <n v="509.59999999999997"/>
    <n v="493.15000000000003"/>
    <n v="553.35"/>
    <n v="0.94"/>
    <x v="0"/>
    <n v="511.17499999999995"/>
    <n v="1.4604999999999999"/>
  </r>
  <r>
    <n v="2015"/>
    <n v="615"/>
    <n v="242"/>
    <n v="1055"/>
    <n v="102"/>
    <n v="1.581"/>
    <n v="1.4650000000000001"/>
    <n v="1.456"/>
    <n v="1.409"/>
    <n v="324"/>
    <d v="1899-12-30T07:01:00"/>
    <d v="2025-10-12T00:00:00"/>
    <n v="0.99"/>
    <n v="1.159"/>
    <n v="1.581"/>
    <n v="12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044"/>
    <n v="615"/>
    <n v="242"/>
    <n v="1079"/>
    <n v="107"/>
    <n v="1.581"/>
    <n v="1.4650000000000001"/>
    <n v="1.456"/>
    <n v="1.409"/>
    <n v="328"/>
    <d v="1899-12-30T06:56:00"/>
    <d v="2025-10-13T00:00:00"/>
    <n v="0.99"/>
    <n v="1.171"/>
    <n v="1.581"/>
    <n v="13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076"/>
    <n v="628"/>
    <n v="247"/>
    <n v="1092"/>
    <n v="107"/>
    <n v="1.581"/>
    <n v="1.4650000000000001"/>
    <n v="1.456"/>
    <n v="1.409"/>
    <n v="331"/>
    <d v="1899-12-30T08:35:00"/>
    <d v="2025-10-14T00:00:00"/>
    <n v="0.99"/>
    <n v="1.141"/>
    <n v="1.581"/>
    <n v="14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103"/>
    <n v="640"/>
    <n v="252"/>
    <n v="1102"/>
    <n v="107"/>
    <n v="1.581"/>
    <n v="1.4650000000000001"/>
    <n v="1.456"/>
    <n v="1.409"/>
    <n v="333"/>
    <d v="1899-12-30T06:36:00"/>
    <d v="2025-10-15T00:00:00"/>
    <n v="0.99"/>
    <n v="1.1719999999999999"/>
    <n v="1.581"/>
    <n v="15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132"/>
    <n v="652"/>
    <n v="257"/>
    <n v="1114"/>
    <n v="107"/>
    <n v="1.581"/>
    <n v="1.4650000000000001"/>
    <n v="1.456"/>
    <n v="1.409"/>
    <n v="336"/>
    <d v="1899-12-30T06:43:00"/>
    <d v="2025-10-16T00:00:00"/>
    <n v="0.99"/>
    <n v="1.0860000000000001"/>
    <n v="1.581"/>
    <n v="16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161"/>
    <n v="665"/>
    <n v="262"/>
    <n v="1126"/>
    <n v="107"/>
    <n v="1.581"/>
    <n v="1.4650000000000001"/>
    <n v="1.456"/>
    <n v="1.409"/>
    <n v="339"/>
    <d v="1899-12-30T07:04:00"/>
    <d v="2025-10-17T00:00:00"/>
    <n v="0.98"/>
    <n v="1.212"/>
    <n v="1.581"/>
    <n v="17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190"/>
    <n v="678"/>
    <n v="267"/>
    <n v="1137"/>
    <n v="107"/>
    <n v="1.581"/>
    <n v="1.4650000000000001"/>
    <n v="1.456"/>
    <n v="1.409"/>
    <n v="342"/>
    <d v="1899-12-30T07:02:00"/>
    <d v="2025-10-18T00:00:00"/>
    <n v="0.99"/>
    <n v="1.3380000000000001"/>
    <n v="1.581"/>
    <n v="18"/>
    <x v="9"/>
    <x v="39"/>
    <x v="9"/>
    <n v="553.35"/>
    <n v="512.75"/>
    <n v="509.59999999999997"/>
    <n v="493.15000000000003"/>
    <n v="553.35"/>
    <n v="0.94"/>
    <x v="0"/>
    <n v="511.17499999999995"/>
    <n v="1.4604999999999999"/>
  </r>
  <r>
    <n v="2219"/>
    <n v="678"/>
    <n v="267"/>
    <n v="1161"/>
    <n v="112"/>
    <n v="1.581"/>
    <n v="1.4650000000000001"/>
    <n v="1.456"/>
    <n v="1.409"/>
    <n v="345"/>
    <d v="1899-12-30T07:07:00"/>
    <d v="2025-10-19T00:00:00"/>
    <n v="0.99"/>
    <n v="1.004"/>
    <n v="1.581"/>
    <n v="19"/>
    <x v="9"/>
    <x v="40"/>
    <x v="9"/>
    <n v="553.35"/>
    <n v="512.75"/>
    <n v="509.59999999999997"/>
    <n v="493.15000000000003"/>
    <n v="553.35"/>
    <n v="0.94"/>
    <x v="0"/>
    <n v="511.17499999999995"/>
    <n v="1.4604999999999999"/>
  </r>
  <r>
    <n v="2247"/>
    <n v="678"/>
    <n v="267"/>
    <n v="1185"/>
    <n v="117"/>
    <n v="1.581"/>
    <n v="1.4650000000000001"/>
    <n v="1.456"/>
    <n v="1.409"/>
    <n v="348"/>
    <d v="1899-12-30T07:07:00"/>
    <d v="2025-10-20T00:00:00"/>
    <n v="0.98"/>
    <n v="1.1839999999999999"/>
    <n v="1.581"/>
    <n v="20"/>
    <x v="9"/>
    <x v="40"/>
    <x v="9"/>
    <n v="553.35"/>
    <n v="512.75"/>
    <n v="509.59999999999997"/>
    <n v="493.15000000000003"/>
    <n v="553.35"/>
    <n v="0.94"/>
    <x v="0"/>
    <n v="511.17499999999995"/>
    <n v="1.4604999999999999"/>
  </r>
  <r>
    <n v="2279"/>
    <n v="692"/>
    <n v="271"/>
    <n v="1197"/>
    <n v="117"/>
    <n v="1.581"/>
    <n v="1.4650000000000001"/>
    <n v="1.456"/>
    <n v="1.409"/>
    <n v="351"/>
    <d v="1899-12-30T09:36:00"/>
    <d v="2025-10-21T00:00:00"/>
    <n v="0.99"/>
    <n v="1.319"/>
    <n v="1.581"/>
    <n v="21"/>
    <x v="9"/>
    <x v="40"/>
    <x v="9"/>
    <n v="553.35"/>
    <n v="512.75"/>
    <n v="509.59999999999997"/>
    <n v="493.15000000000003"/>
    <n v="553.35"/>
    <n v="0.94"/>
    <x v="0"/>
    <n v="511.17499999999995"/>
    <n v="1.4604999999999999"/>
  </r>
  <r>
    <n v="2305"/>
    <n v="703"/>
    <n v="277"/>
    <n v="1209"/>
    <n v="117"/>
    <n v="1.581"/>
    <n v="1.4650000000000001"/>
    <n v="1.456"/>
    <n v="1.409"/>
    <n v="354"/>
    <d v="1899-12-30T09:36:00"/>
    <d v="2025-10-22T00:00:00"/>
    <n v="0.99"/>
    <n v="1.0529999999999999"/>
    <n v="1.581"/>
    <n v="22"/>
    <x v="9"/>
    <x v="40"/>
    <x v="9"/>
    <n v="553.35"/>
    <n v="512.75"/>
    <n v="509.59999999999997"/>
    <n v="493.15000000000003"/>
    <n v="553.35"/>
    <n v="0.94"/>
    <x v="0"/>
    <n v="511.17499999999995"/>
    <n v="1.4604999999999999"/>
  </r>
  <r>
    <n v="2335"/>
    <n v="719"/>
    <n v="282"/>
    <n v="1219"/>
    <n v="117"/>
    <n v="1.581"/>
    <n v="1.4890000000000001"/>
    <n v="1.456"/>
    <n v="1.409"/>
    <n v="358"/>
    <d v="1899-12-30T07:09:00"/>
    <d v="2025-10-23T00:00:00"/>
    <n v="0.98"/>
    <n v="1.24"/>
    <n v="1.581"/>
    <n v="23"/>
    <x v="9"/>
    <x v="40"/>
    <x v="9"/>
    <n v="553.35"/>
    <n v="521.15000000000009"/>
    <n v="509.59999999999997"/>
    <n v="493.15000000000003"/>
    <n v="553.35"/>
    <n v="0.94"/>
    <x v="0"/>
    <n v="515.375"/>
    <n v="1.4724999999999999"/>
  </r>
  <r>
    <n v="2354"/>
    <n v="729"/>
    <n v="286"/>
    <n v="1232"/>
    <n v="117"/>
    <n v="1.581"/>
    <n v="1.4890000000000001"/>
    <n v="1.456"/>
    <n v="1.409"/>
    <n v="361"/>
    <d v="1899-12-30T06:44:00"/>
    <d v="2025-10-24T00:00:00"/>
    <n v="0.99"/>
    <n v="1.081"/>
    <n v="1.581"/>
    <n v="24"/>
    <x v="9"/>
    <x v="40"/>
    <x v="9"/>
    <n v="553.35"/>
    <n v="521.15000000000009"/>
    <n v="509.59999999999997"/>
    <n v="493.15000000000003"/>
    <n v="553.35"/>
    <n v="0.94"/>
    <x v="0"/>
    <n v="515.375"/>
    <n v="1.4724999999999999"/>
  </r>
  <r>
    <n v="2393"/>
    <n v="741"/>
    <n v="291"/>
    <n v="1242"/>
    <n v="117"/>
    <n v="1.581"/>
    <n v="1.4890000000000001"/>
    <n v="1.456"/>
    <n v="1.409"/>
    <n v="364"/>
    <d v="1899-12-30T06:39:00"/>
    <d v="2025-10-25T00:00:00"/>
    <n v="0.99"/>
    <n v="1.252"/>
    <n v="1.581"/>
    <n v="25"/>
    <x v="9"/>
    <x v="40"/>
    <x v="9"/>
    <n v="553.35"/>
    <n v="521.15000000000009"/>
    <n v="509.59999999999997"/>
    <n v="493.15000000000003"/>
    <n v="553.35"/>
    <n v="0.94"/>
    <x v="0"/>
    <n v="515.375"/>
    <n v="1.4724999999999999"/>
  </r>
  <r>
    <n v="2422"/>
    <n v="741"/>
    <n v="291"/>
    <n v="1266"/>
    <n v="122"/>
    <n v="1.581"/>
    <n v="1.4890000000000001"/>
    <n v="1.456"/>
    <n v="1.41"/>
    <n v="368"/>
    <d v="1899-12-30T07:07:00"/>
    <d v="2025-10-26T00:00:00"/>
    <n v="0.99"/>
    <n v="1.298"/>
    <n v="1.581"/>
    <n v="26"/>
    <x v="9"/>
    <x v="41"/>
    <x v="9"/>
    <n v="553.35"/>
    <n v="521.15000000000009"/>
    <n v="509.59999999999997"/>
    <n v="493.5"/>
    <n v="553.35"/>
    <n v="0.94"/>
    <x v="0"/>
    <n v="515.375"/>
    <n v="1.4724999999999999"/>
  </r>
  <r>
    <n v="2451"/>
    <n v="741"/>
    <n v="291"/>
    <n v="1291"/>
    <n v="126"/>
    <n v="1.581"/>
    <n v="1.4890000000000001"/>
    <n v="1.456"/>
    <n v="1.41"/>
    <n v="371"/>
    <d v="1899-12-30T07:03:00"/>
    <d v="2025-10-27T00:00:00"/>
    <n v="0.99"/>
    <n v="0.1192"/>
    <n v="1.581"/>
    <n v="27"/>
    <x v="9"/>
    <x v="41"/>
    <x v="9"/>
    <n v="553.35"/>
    <n v="521.15000000000009"/>
    <n v="509.59999999999997"/>
    <n v="493.5"/>
    <n v="553.35"/>
    <n v="0.94"/>
    <x v="0"/>
    <n v="515.375"/>
    <n v="1.4724999999999999"/>
  </r>
  <r>
    <n v="2479"/>
    <n v="753"/>
    <n v="296"/>
    <n v="1301"/>
    <n v="126"/>
    <n v="1.581"/>
    <n v="1.4890000000000001"/>
    <n v="1.456"/>
    <n v="1.1399999999999999"/>
    <n v="374"/>
    <d v="1899-12-30T07:01:00"/>
    <d v="2025-10-28T00:00:00"/>
    <n v="0.99"/>
    <n v="0.10970000000000001"/>
    <n v="1.581"/>
    <n v="28"/>
    <x v="9"/>
    <x v="41"/>
    <x v="9"/>
    <n v="553.35"/>
    <n v="521.15000000000009"/>
    <n v="509.59999999999997"/>
    <n v="398.99999999999994"/>
    <n v="553.35"/>
    <n v="0.94"/>
    <x v="0"/>
    <n v="515.375"/>
    <n v="1.4724999999999999"/>
  </r>
  <r>
    <n v="2507"/>
    <n v="766"/>
    <n v="301"/>
    <n v="1312"/>
    <n v="126"/>
    <n v="1.581"/>
    <n v="1.4890000000000001"/>
    <n v="1.456"/>
    <n v="1.1399999999999999"/>
    <n v="376"/>
    <d v="1899-12-30T06:33:00"/>
    <d v="2025-10-29T00:00:00"/>
    <n v="0.99"/>
    <n v="0.12659999999999999"/>
    <n v="1.581"/>
    <n v="29"/>
    <x v="9"/>
    <x v="41"/>
    <x v="9"/>
    <n v="553.35"/>
    <n v="521.15000000000009"/>
    <n v="509.59999999999997"/>
    <n v="398.99999999999994"/>
    <n v="553.35"/>
    <n v="0.94"/>
    <x v="0"/>
    <n v="515.375"/>
    <n v="1.4724999999999999"/>
  </r>
  <r>
    <n v="2536"/>
    <n v="779"/>
    <n v="306"/>
    <n v="1324"/>
    <n v="126"/>
    <n v="1.581"/>
    <n v="1.4890000000000001"/>
    <n v="1.456"/>
    <n v="1.41"/>
    <n v="3379"/>
    <d v="1899-12-30T06:33:00"/>
    <d v="2025-10-30T00:00:00"/>
    <n v="0.99"/>
    <n v="1.246"/>
    <n v="1.581"/>
    <n v="30"/>
    <x v="9"/>
    <x v="41"/>
    <x v="9"/>
    <n v="553.35"/>
    <n v="521.15000000000009"/>
    <n v="509.59999999999997"/>
    <n v="493.5"/>
    <n v="553.35"/>
    <n v="0.94"/>
    <x v="0"/>
    <n v="515.375"/>
    <n v="1.4724999999999999"/>
  </r>
  <r>
    <n v="2565"/>
    <n v="791"/>
    <n v="311"/>
    <n v="1335"/>
    <n v="126"/>
    <n v="1.581"/>
    <n v="1.4890000000000001"/>
    <n v="1.456"/>
    <n v="1.41"/>
    <n v="382"/>
    <d v="1899-12-30T06:59:00"/>
    <d v="2025-10-31T00:00:00"/>
    <n v="0.98"/>
    <n v="1.157"/>
    <n v="1.581"/>
    <n v="31"/>
    <x v="9"/>
    <x v="41"/>
    <x v="9"/>
    <n v="553.35"/>
    <n v="521.15000000000009"/>
    <n v="509.59999999999997"/>
    <n v="493.5"/>
    <n v="553.35"/>
    <n v="0.94"/>
    <x v="0"/>
    <n v="515.375"/>
    <n v="1.4724999999999999"/>
  </r>
  <r>
    <n v="2593"/>
    <n v="804"/>
    <n v="316"/>
    <n v="1346"/>
    <n v="126"/>
    <n v="0"/>
    <n v="0"/>
    <n v="1.2050000000000001"/>
    <n v="0"/>
    <n v="385"/>
    <d v="1899-12-30T06:53:00"/>
    <d v="2025-11-01T00:00:00"/>
    <n v="0.98"/>
    <n v="9.8000000000000007"/>
    <n v="1.2050000000000001"/>
    <n v="1"/>
    <x v="10"/>
    <x v="41"/>
    <x v="10"/>
    <n v="0"/>
    <n v="0"/>
    <n v="421.75"/>
    <n v="0"/>
    <n v="421.75"/>
    <n v="0.94"/>
    <x v="0"/>
    <n v="0"/>
    <n v="0"/>
  </r>
  <r>
    <n v="2622"/>
    <n v="804"/>
    <n v="316"/>
    <n v="1370"/>
    <n v="131"/>
    <n v="0"/>
    <n v="0"/>
    <n v="1.3979999999999999"/>
    <n v="1.284"/>
    <n v="388"/>
    <d v="1899-12-30T07:19:00"/>
    <d v="2025-11-02T00:00:00"/>
    <n v="0.98"/>
    <n v="1.012"/>
    <n v="1.3979999999999999"/>
    <n v="2"/>
    <x v="10"/>
    <x v="14"/>
    <x v="10"/>
    <n v="0"/>
    <n v="0"/>
    <n v="489.29999999999995"/>
    <n v="449.40000000000003"/>
    <n v="489.29999999999995"/>
    <n v="0.94"/>
    <x v="0"/>
    <n v="224.70000000000002"/>
    <n v="0.64200000000000002"/>
  </r>
  <r>
    <n v="2650"/>
    <n v="804"/>
    <n v="316"/>
    <n v="1393"/>
    <n v="136"/>
    <n v="0"/>
    <n v="0"/>
    <n v="1.3979999999999999"/>
    <n v="1.2889999999999999"/>
    <n v="392"/>
    <d v="1899-12-30T06:49:00"/>
    <d v="2025-11-03T00:00:00"/>
    <n v="0.99"/>
    <n v="1.2410000000000001"/>
    <n v="1.3979999999999999"/>
    <n v="3"/>
    <x v="10"/>
    <x v="14"/>
    <x v="10"/>
    <n v="0"/>
    <n v="0"/>
    <n v="489.29999999999995"/>
    <n v="451.15"/>
    <n v="489.29999999999995"/>
    <n v="0.94"/>
    <x v="0"/>
    <n v="225.57499999999999"/>
    <n v="0.64449999999999996"/>
  </r>
  <r>
    <n v="2679"/>
    <n v="804"/>
    <n v="316"/>
    <n v="1418"/>
    <n v="141"/>
    <n v="0"/>
    <n v="0"/>
    <n v="1.423"/>
    <n v="1.341"/>
    <n v="395"/>
    <d v="1899-12-30T07:05:00"/>
    <d v="2025-11-04T00:00:00"/>
    <n v="0.99"/>
    <n v="1.0409999999999999"/>
    <n v="1.423"/>
    <n v="4"/>
    <x v="10"/>
    <x v="14"/>
    <x v="10"/>
    <n v="0"/>
    <n v="0"/>
    <n v="498.05"/>
    <n v="469.34999999999997"/>
    <n v="498.05"/>
    <n v="0.94"/>
    <x v="0"/>
    <n v="234.67499999999998"/>
    <n v="0.67049999999999998"/>
  </r>
  <r>
    <n v="2708"/>
    <n v="816"/>
    <n v="321"/>
    <n v="1429"/>
    <n v="141"/>
    <n v="1.3919999999999999"/>
    <n v="1.375"/>
    <n v="1.423"/>
    <n v="1.341"/>
    <n v="398"/>
    <d v="1899-12-30T06:41:00"/>
    <d v="2025-11-05T00:00:00"/>
    <n v="0.99"/>
    <n v="1.044"/>
    <n v="1.423"/>
    <n v="5"/>
    <x v="10"/>
    <x v="14"/>
    <x v="10"/>
    <n v="487.2"/>
    <n v="481.25"/>
    <n v="498.05"/>
    <n v="469.34999999999997"/>
    <n v="498.05"/>
    <n v="0.94"/>
    <x v="0"/>
    <n v="484.22500000000002"/>
    <n v="1.3835000000000002"/>
  </r>
  <r>
    <n v="2737"/>
    <n v="828"/>
    <n v="326"/>
    <n v="1441"/>
    <n v="141"/>
    <n v="1.4119999999999999"/>
    <n v="1.383"/>
    <n v="1.423"/>
    <n v="1.341"/>
    <n v="401"/>
    <d v="1899-12-30T06:35:00"/>
    <d v="2025-11-06T00:00:00"/>
    <n v="0.99"/>
    <n v="1.1639999999999999"/>
    <n v="1.423"/>
    <n v="6"/>
    <x v="10"/>
    <x v="14"/>
    <x v="10"/>
    <n v="494.2"/>
    <n v="484.05"/>
    <n v="498.05"/>
    <n v="469.34999999999997"/>
    <n v="498.05"/>
    <n v="0.94"/>
    <x v="0"/>
    <n v="489.125"/>
    <n v="1.3975"/>
  </r>
  <r>
    <n v="2769"/>
    <n v="842"/>
    <n v="331"/>
    <n v="1454"/>
    <n v="141"/>
    <n v="1.5129999999999999"/>
    <n v="1.427"/>
    <n v="1.423"/>
    <n v="1.341"/>
    <n v="405"/>
    <d v="1899-12-30T08:22:00"/>
    <d v="2025-11-07T00:00:00"/>
    <n v="0.99"/>
    <n v="1.1379999999999999"/>
    <n v="1.5129999999999999"/>
    <n v="7"/>
    <x v="10"/>
    <x v="14"/>
    <x v="10"/>
    <n v="529.54999999999995"/>
    <n v="499.45"/>
    <n v="498.05"/>
    <n v="469.34999999999997"/>
    <n v="529.54999999999995"/>
    <n v="0.94"/>
    <x v="0"/>
    <n v="498.75"/>
    <n v="1.425"/>
  </r>
  <r>
    <n v="2797"/>
    <n v="854"/>
    <n v="336"/>
    <n v="1465"/>
    <n v="141"/>
    <n v="1.5129999999999999"/>
    <n v="1.427"/>
    <n v="1.423"/>
    <n v="1.341"/>
    <n v="408"/>
    <d v="1899-12-30T06:53:00"/>
    <d v="2025-11-08T00:00:00"/>
    <n v="0.98"/>
    <n v="1.1100000000000001"/>
    <n v="1.5129999999999999"/>
    <n v="8"/>
    <x v="10"/>
    <x v="14"/>
    <x v="10"/>
    <n v="529.54999999999995"/>
    <n v="499.45"/>
    <n v="498.05"/>
    <n v="469.34999999999997"/>
    <n v="529.54999999999995"/>
    <n v="0.94"/>
    <x v="0"/>
    <n v="498.75"/>
    <n v="1.425"/>
  </r>
  <r>
    <n v="2827"/>
    <n v="854"/>
    <n v="336"/>
    <n v="1489"/>
    <n v="146"/>
    <n v="1.5129999999999999"/>
    <n v="1.427"/>
    <n v="1.4670000000000001"/>
    <n v="1.353"/>
    <n v="412"/>
    <d v="1899-12-30T06:54:00"/>
    <d v="2025-11-09T00:00:00"/>
    <n v="0.98"/>
    <n v="1.3260000000000001"/>
    <n v="1.5129999999999999"/>
    <n v="9"/>
    <x v="10"/>
    <x v="42"/>
    <x v="10"/>
    <n v="529.54999999999995"/>
    <n v="499.45"/>
    <n v="513.45000000000005"/>
    <n v="473.55"/>
    <n v="529.54999999999995"/>
    <n v="0.94"/>
    <x v="0"/>
    <n v="506.45000000000005"/>
    <n v="1.4470000000000001"/>
  </r>
  <r>
    <n v="2856"/>
    <n v="854"/>
    <n v="336"/>
    <n v="1513"/>
    <n v="151"/>
    <n v="1.5129999999999999"/>
    <n v="1.427"/>
    <n v="1.4670000000000001"/>
    <n v="1.353"/>
    <n v="415"/>
    <d v="1899-12-30T07:01:00"/>
    <d v="2025-11-10T00:00:00"/>
    <n v="0.98"/>
    <n v="1.0489999999999999"/>
    <n v="1.5129999999999999"/>
    <n v="10"/>
    <x v="10"/>
    <x v="42"/>
    <x v="10"/>
    <n v="529.54999999999995"/>
    <n v="499.45"/>
    <n v="513.45000000000005"/>
    <n v="473.55"/>
    <n v="529.54999999999995"/>
    <n v="0.94"/>
    <x v="0"/>
    <n v="506.45000000000005"/>
    <n v="1.4470000000000001"/>
  </r>
  <r>
    <n v="2888"/>
    <n v="868"/>
    <n v="341"/>
    <n v="1526"/>
    <n v="151"/>
    <n v="1.5129999999999999"/>
    <n v="1.427"/>
    <n v="1.4670000000000001"/>
    <n v="1.353"/>
    <n v="419"/>
    <d v="1899-12-30T08:35:00"/>
    <d v="2025-11-11T00:00:00"/>
    <n v="0.99"/>
    <n v="1.2210000000000001"/>
    <n v="1.5129999999999999"/>
    <n v="11"/>
    <x v="10"/>
    <x v="42"/>
    <x v="10"/>
    <n v="529.54999999999995"/>
    <n v="499.45"/>
    <n v="513.45000000000005"/>
    <n v="473.55"/>
    <n v="529.54999999999995"/>
    <n v="0.94"/>
    <x v="0"/>
    <n v="506.45000000000005"/>
    <n v="1.4470000000000001"/>
  </r>
  <r>
    <n v="2915"/>
    <n v="880"/>
    <n v="346"/>
    <n v="1536"/>
    <n v="151"/>
    <n v="1.5129999999999999"/>
    <n v="1.427"/>
    <n v="1.4670000000000001"/>
    <n v="1.353"/>
    <n v="421"/>
    <d v="1899-12-30T06:31:00"/>
    <d v="2025-12-11T00:00:00"/>
    <n v="0.99"/>
    <n v="1.2410000000000001"/>
    <n v="1.5129999999999999"/>
    <n v="11"/>
    <x v="11"/>
    <x v="43"/>
    <x v="11"/>
    <n v="529.54999999999995"/>
    <n v="499.45"/>
    <n v="513.45000000000005"/>
    <n v="473.55"/>
    <n v="529.54999999999995"/>
    <n v="0.94"/>
    <x v="0"/>
    <n v="506.45000000000005"/>
    <n v="1.4470000000000001"/>
  </r>
  <r>
    <n v="2945"/>
    <n v="893"/>
    <n v="351"/>
    <n v="1548"/>
    <n v="151"/>
    <n v="1.5129999999999999"/>
    <n v="1.427"/>
    <n v="1.4670000000000001"/>
    <n v="1.353"/>
    <n v="425"/>
    <d v="1899-12-30T08:35:00"/>
    <d v="2025-11-13T00:00:00"/>
    <n v="0.99"/>
    <n v="1.1759999999999999"/>
    <n v="1.5129999999999999"/>
    <n v="13"/>
    <x v="10"/>
    <x v="42"/>
    <x v="10"/>
    <n v="529.54999999999995"/>
    <n v="499.45"/>
    <n v="513.45000000000005"/>
    <n v="473.55"/>
    <n v="529.54999999999995"/>
    <n v="0.94"/>
    <x v="0"/>
    <n v="506.45000000000005"/>
    <n v="1.4470000000000001"/>
  </r>
  <r>
    <n v="2976"/>
    <n v="907"/>
    <n v="356"/>
    <n v="1560"/>
    <n v="151"/>
    <n v="1.5129999999999999"/>
    <n v="1.427"/>
    <n v="1.4670000000000001"/>
    <n v="1.353"/>
    <n v="429"/>
    <d v="1899-12-30T07:01:00"/>
    <d v="2025-11-14T00:00:00"/>
    <n v="0.99"/>
    <n v="1.1499999999999999"/>
    <n v="1.5129999999999999"/>
    <n v="14"/>
    <x v="10"/>
    <x v="42"/>
    <x v="10"/>
    <n v="529.54999999999995"/>
    <n v="499.45"/>
    <n v="513.45000000000005"/>
    <n v="473.55"/>
    <n v="529.54999999999995"/>
    <n v="0.94"/>
    <x v="0"/>
    <n v="506.45000000000005"/>
    <n v="1.4470000000000001"/>
  </r>
  <r>
    <n v="3007"/>
    <n v="921"/>
    <n v="362"/>
    <n v="1572"/>
    <n v="151"/>
    <n v="1.526"/>
    <n v="1.427"/>
    <n v="1.4670000000000001"/>
    <n v="1.353"/>
    <n v="433"/>
    <d v="1899-12-30T07:04:00"/>
    <d v="2025-11-15T00:00:00"/>
    <n v="0.98"/>
    <n v="1.194"/>
    <n v="1.526"/>
    <n v="15"/>
    <x v="10"/>
    <x v="42"/>
    <x v="10"/>
    <n v="534.1"/>
    <n v="499.45"/>
    <n v="513.45000000000005"/>
    <n v="473.55"/>
    <n v="534.1"/>
    <n v="0.94"/>
    <x v="0"/>
    <n v="506.45000000000005"/>
    <n v="1.4470000000000001"/>
  </r>
  <r>
    <n v="3035"/>
    <n v="921"/>
    <n v="362"/>
    <n v="1590"/>
    <n v="156"/>
    <n v="1.526"/>
    <n v="1.427"/>
    <n v="1.5029999999999999"/>
    <n v="1.371"/>
    <n v="437"/>
    <d v="1899-12-30T08:04:56"/>
    <d v="2025-11-16T00:00:00"/>
    <n v="0.98"/>
    <n v="1.05"/>
    <n v="1.526"/>
    <n v="16"/>
    <x v="10"/>
    <x v="44"/>
    <x v="10"/>
    <n v="534.1"/>
    <n v="499.45"/>
    <n v="526.04999999999995"/>
    <n v="479.85"/>
    <n v="534.1"/>
    <n v="0.94"/>
    <x v="0"/>
    <n v="512.75"/>
    <n v="1.4650000000000001"/>
  </r>
  <r>
    <n v="3063"/>
    <n v="921"/>
    <n v="362"/>
    <n v="1619"/>
    <n v="161"/>
    <n v="1.526"/>
    <n v="1.427"/>
    <n v="1.5029999999999999"/>
    <n v="1.371"/>
    <n v="440"/>
    <d v="1899-12-30T07:04:00"/>
    <d v="2025-11-17T00:00:00"/>
    <n v="0.98"/>
    <n v="1.1499999999999999"/>
    <n v="1.526"/>
    <n v="17"/>
    <x v="10"/>
    <x v="44"/>
    <x v="10"/>
    <n v="534.1"/>
    <n v="499.45"/>
    <n v="526.04999999999995"/>
    <n v="479.85"/>
    <n v="534.1"/>
    <n v="0.94"/>
    <x v="0"/>
    <n v="512.75"/>
    <n v="1.4650000000000001"/>
  </r>
  <r>
    <n v="3093"/>
    <n v="933"/>
    <n v="367"/>
    <n v="1631"/>
    <n v="161"/>
    <n v="1.526"/>
    <n v="1.427"/>
    <n v="1.5029999999999999"/>
    <n v="1.371"/>
    <n v="444"/>
    <d v="1899-12-30T07:13:00"/>
    <d v="2025-11-18T00:00:00"/>
    <n v="0.99"/>
    <n v="1.1599999999999999"/>
    <n v="1.526"/>
    <n v="18"/>
    <x v="10"/>
    <x v="44"/>
    <x v="10"/>
    <n v="534.1"/>
    <n v="499.45"/>
    <n v="526.04999999999995"/>
    <n v="479.85"/>
    <n v="534.1"/>
    <n v="0.94"/>
    <x v="0"/>
    <n v="512.75"/>
    <n v="1.4650000000000001"/>
  </r>
  <r>
    <n v="3121"/>
    <n v="945"/>
    <n v="372"/>
    <n v="1642"/>
    <n v="161"/>
    <n v="1.526"/>
    <n v="1.427"/>
    <n v="1.5029999999999999"/>
    <n v="1.377"/>
    <n v="447"/>
    <d v="1899-12-30T06:37:00"/>
    <d v="2025-11-19T00:00:00"/>
    <n v="0.98"/>
    <n v="1.1200000000000001"/>
    <n v="1.526"/>
    <n v="19"/>
    <x v="10"/>
    <x v="44"/>
    <x v="10"/>
    <n v="534.1"/>
    <n v="499.45"/>
    <n v="526.04999999999995"/>
    <n v="481.95"/>
    <n v="534.1"/>
    <n v="0.94"/>
    <x v="0"/>
    <n v="512.75"/>
    <n v="1.4650000000000001"/>
  </r>
  <r>
    <n v="3151"/>
    <n v="959"/>
    <n v="377"/>
    <n v="1654"/>
    <n v="161"/>
    <n v="1.526"/>
    <n v="1.427"/>
    <n v="1.5029999999999999"/>
    <n v="1.377"/>
    <n v="451"/>
    <d v="1899-12-30T06:37:00"/>
    <d v="2025-11-20T00:00:00"/>
    <n v="0.96"/>
    <n v="1.427"/>
    <n v="1.526"/>
    <n v="20"/>
    <x v="10"/>
    <x v="44"/>
    <x v="10"/>
    <n v="534.1"/>
    <n v="499.45"/>
    <n v="526.04999999999995"/>
    <n v="481.95"/>
    <n v="534.1"/>
    <n v="0.94"/>
    <x v="0"/>
    <n v="512.75"/>
    <n v="1.4650000000000001"/>
  </r>
  <r>
    <n v="3182"/>
    <n v="972"/>
    <n v="382"/>
    <n v="1667"/>
    <n v="161"/>
    <n v="1.526"/>
    <n v="1.427"/>
    <n v="1.5029999999999999"/>
    <n v="1.371"/>
    <n v="455"/>
    <d v="1899-12-30T07:00:00"/>
    <d v="2025-11-21T00:00:00"/>
    <n v="0.99"/>
    <n v="1.1240000000000001"/>
    <n v="1.526"/>
    <n v="21"/>
    <x v="10"/>
    <x v="44"/>
    <x v="10"/>
    <n v="534.1"/>
    <n v="499.45"/>
    <n v="526.04999999999995"/>
    <n v="479.85"/>
    <n v="534.1"/>
    <n v="0.94"/>
    <x v="0"/>
    <n v="512.75"/>
    <n v="1.4650000000000001"/>
  </r>
  <r>
    <n v="3213"/>
    <n v="985"/>
    <n v="387"/>
    <n v="1679"/>
    <n v="161"/>
    <n v="1.5409999999999999"/>
    <n v="1.427"/>
    <n v="1.5029999999999999"/>
    <n v="1.371"/>
    <n v="458"/>
    <d v="1899-12-30T07:25:00"/>
    <d v="2025-11-22T00:00:00"/>
    <n v="0.99"/>
    <n v="1.0449999999999999"/>
    <n v="1.5409999999999999"/>
    <n v="22"/>
    <x v="10"/>
    <x v="44"/>
    <x v="10"/>
    <n v="539.35"/>
    <n v="499.45"/>
    <n v="526.04999999999995"/>
    <n v="479.85"/>
    <n v="539.35"/>
    <n v="0.94"/>
    <x v="0"/>
    <n v="512.75"/>
    <n v="1.4650000000000001"/>
  </r>
  <r>
    <n v="3242"/>
    <n v="985"/>
    <n v="387"/>
    <n v="1703"/>
    <n v="165"/>
    <n v="1.5409999999999999"/>
    <n v="1.427"/>
    <n v="1.5029999999999999"/>
    <n v="1.371"/>
    <n v="462"/>
    <d v="1899-12-30T07:11:00"/>
    <d v="2025-11-23T00:00:00"/>
    <n v="0.99"/>
    <n v="1.0580000000000001"/>
    <n v="1.5409999999999999"/>
    <n v="23"/>
    <x v="10"/>
    <x v="45"/>
    <x v="10"/>
    <n v="539.35"/>
    <n v="499.45"/>
    <n v="526.04999999999995"/>
    <n v="479.85"/>
    <n v="539.35"/>
    <n v="0.94"/>
    <x v="0"/>
    <n v="512.75"/>
    <n v="1.4650000000000001"/>
  </r>
  <r>
    <n v="3269"/>
    <n v="985"/>
    <n v="387"/>
    <n v="1725"/>
    <n v="170"/>
    <n v="1.5409999999999999"/>
    <n v="1.427"/>
    <n v="1.5820000000000001"/>
    <n v="1.385"/>
    <n v="466"/>
    <d v="1899-12-30T07:11:00"/>
    <d v="2025-11-24T00:00:00"/>
    <n v="0.99"/>
    <n v="0.97699999999999998"/>
    <n v="1.5820000000000001"/>
    <n v="24"/>
    <x v="10"/>
    <x v="45"/>
    <x v="10"/>
    <n v="539.35"/>
    <n v="499.45"/>
    <n v="553.70000000000005"/>
    <n v="484.75"/>
    <n v="553.70000000000005"/>
    <n v="0.94"/>
    <x v="0"/>
    <n v="519.4"/>
    <n v="1.484"/>
  </r>
  <r>
    <n v="3300"/>
    <n v="985"/>
    <n v="393"/>
    <n v="1737"/>
    <n v="170"/>
    <n v="1.5409999999999999"/>
    <n v="1.5660000000000001"/>
    <n v="1.5820000000000001"/>
    <n v="1.385"/>
    <n v="470"/>
    <d v="1899-12-30T07:43:00"/>
    <d v="2025-11-25T00:00:00"/>
    <n v="0.99"/>
    <n v="1.08"/>
    <n v="1.5820000000000001"/>
    <n v="25"/>
    <x v="10"/>
    <x v="45"/>
    <x v="10"/>
    <n v="539.35"/>
    <n v="548.1"/>
    <n v="553.70000000000005"/>
    <n v="484.75"/>
    <n v="553.70000000000005"/>
    <n v="0.94"/>
    <x v="0"/>
    <n v="543.72500000000002"/>
    <n v="1.5535000000000001"/>
  </r>
  <r>
    <n v="3321"/>
    <n v="1007"/>
    <n v="395"/>
    <n v="1748"/>
    <n v="170"/>
    <n v="1.5409999999999999"/>
    <n v="1.5660000000000001"/>
    <n v="1.5820000000000001"/>
    <n v="1.385"/>
    <n v="473"/>
    <d v="1899-12-30T06:34:00"/>
    <d v="2025-11-26T00:00:00"/>
    <n v="0.98"/>
    <n v="1.081"/>
    <n v="1.5820000000000001"/>
    <n v="26"/>
    <x v="10"/>
    <x v="45"/>
    <x v="10"/>
    <n v="539.35"/>
    <n v="548.1"/>
    <n v="553.70000000000005"/>
    <n v="484.75"/>
    <n v="553.70000000000005"/>
    <n v="0.94"/>
    <x v="0"/>
    <n v="543.72500000000002"/>
    <n v="1.5535000000000001"/>
  </r>
  <r>
    <n v="3352"/>
    <n v="1020"/>
    <n v="400"/>
    <n v="1760"/>
    <n v="170"/>
    <n v="1.5529999999999999"/>
    <n v="1.5660000000000001"/>
    <n v="1.5820000000000001"/>
    <n v="1.385"/>
    <n v="478"/>
    <d v="1899-12-30T06:36:00"/>
    <d v="2025-11-27T00:00:00"/>
    <n v="0.98"/>
    <n v="1.125"/>
    <n v="1.5820000000000001"/>
    <n v="27"/>
    <x v="10"/>
    <x v="45"/>
    <x v="10"/>
    <n v="543.54999999999995"/>
    <n v="548.1"/>
    <n v="553.70000000000005"/>
    <n v="484.75"/>
    <n v="553.70000000000005"/>
    <n v="0.94"/>
    <x v="0"/>
    <n v="545.82500000000005"/>
    <n v="1.5595000000000001"/>
  </r>
  <r>
    <n v="3382"/>
    <n v="1033"/>
    <n v="405"/>
    <n v="1772"/>
    <n v="170"/>
    <n v="1.5529999999999999"/>
    <n v="1.5660000000000001"/>
    <n v="1.5820000000000001"/>
    <n v="1.385"/>
    <n v="482"/>
    <d v="1899-12-30T07:06:00"/>
    <d v="2025-11-28T00:00:00"/>
    <n v="0.98"/>
    <n v="1.0740000000000001"/>
    <n v="1.5820000000000001"/>
    <n v="28"/>
    <x v="10"/>
    <x v="45"/>
    <x v="10"/>
    <n v="543.54999999999995"/>
    <n v="548.1"/>
    <n v="553.70000000000005"/>
    <n v="484.75"/>
    <n v="553.70000000000005"/>
    <n v="0.94"/>
    <x v="0"/>
    <n v="545.82500000000005"/>
    <n v="1.5595000000000001"/>
  </r>
  <r>
    <n v="3413"/>
    <n v="1046"/>
    <n v="410"/>
    <n v="1785"/>
    <n v="170"/>
    <n v="1.5549999999999999"/>
    <n v="1.5660000000000001"/>
    <n v="1.5820000000000001"/>
    <n v="1.385"/>
    <n v="486"/>
    <d v="1899-12-30T07:07:00"/>
    <d v="2025-11-29T00:00:00"/>
    <n v="0.97"/>
    <n v="1.159"/>
    <n v="1.5820000000000001"/>
    <n v="29"/>
    <x v="10"/>
    <x v="45"/>
    <x v="10"/>
    <n v="544.25"/>
    <n v="548.1"/>
    <n v="553.70000000000005"/>
    <n v="484.75"/>
    <n v="553.70000000000005"/>
    <n v="0.94"/>
    <x v="0"/>
    <n v="546.17499999999995"/>
    <n v="1.5604999999999998"/>
  </r>
  <r>
    <n v="3440"/>
    <n v="1046"/>
    <n v="410"/>
    <n v="1807"/>
    <n v="175"/>
    <n v="1.5549999999999999"/>
    <n v="1.5660000000000001"/>
    <n v="1.5820000000000001"/>
    <n v="1.385"/>
    <n v="489"/>
    <d v="1899-12-30T07:06:00"/>
    <d v="2025-11-30T00:00:00"/>
    <n v="0.98"/>
    <n v="1.07"/>
    <n v="1.5820000000000001"/>
    <n v="30"/>
    <x v="10"/>
    <x v="15"/>
    <x v="10"/>
    <n v="544.25"/>
    <n v="548.1"/>
    <n v="553.70000000000005"/>
    <n v="484.75"/>
    <n v="553.70000000000005"/>
    <n v="0.94"/>
    <x v="0"/>
    <n v="546.17499999999995"/>
    <n v="1.5604999999999998"/>
  </r>
  <r>
    <n v="3470"/>
    <n v="1046"/>
    <n v="410"/>
    <n v="1832"/>
    <n v="180"/>
    <n v="0"/>
    <n v="0"/>
    <n v="1.2829999999999999"/>
    <n v="0"/>
    <n v="493"/>
    <d v="1899-12-30T07:09:00"/>
    <d v="2025-12-01T00:00:00"/>
    <n v="0.95"/>
    <n v="1.079"/>
    <n v="1.2829999999999999"/>
    <n v="1"/>
    <x v="11"/>
    <x v="15"/>
    <x v="11"/>
    <n v="0"/>
    <n v="0"/>
    <n v="449.04999999999995"/>
    <n v="0"/>
    <n v="449.04999999999995"/>
    <n v="0.94"/>
    <x v="0"/>
    <n v="0"/>
    <n v="0"/>
  </r>
  <r>
    <n v="3498"/>
    <n v="1058"/>
    <n v="415"/>
    <n v="1843"/>
    <n v="180"/>
    <n v="1.5389999999999999"/>
    <n v="1.468"/>
    <n v="1.361"/>
    <n v="0"/>
    <n v="497"/>
    <d v="1899-12-30T07:17:00"/>
    <d v="2025-12-02T00:00:00"/>
    <n v="0.99"/>
    <n v="1.0669999999999999"/>
    <n v="1.5389999999999999"/>
    <n v="2"/>
    <x v="11"/>
    <x v="15"/>
    <x v="11"/>
    <n v="538.65"/>
    <n v="513.79999999999995"/>
    <n v="476.35"/>
    <n v="0"/>
    <n v="538.65"/>
    <n v="0.94"/>
    <x v="0"/>
    <n v="495.07499999999999"/>
    <n v="1.4144999999999999"/>
  </r>
  <r>
    <n v="3527"/>
    <n v="1072"/>
    <n v="420"/>
    <n v="1854"/>
    <n v="180"/>
    <n v="1.63"/>
    <n v="1.468"/>
    <n v="1.361"/>
    <n v="0"/>
    <n v="500"/>
    <d v="1899-12-30T06:43:00"/>
    <d v="2025-12-03T00:00:00"/>
    <n v="0.99"/>
    <n v="1.3109999999999999"/>
    <n v="1.63"/>
    <n v="3"/>
    <x v="11"/>
    <x v="15"/>
    <x v="11"/>
    <n v="570.5"/>
    <n v="513.79999999999995"/>
    <n v="476.35"/>
    <n v="0"/>
    <n v="570.5"/>
    <n v="0.94"/>
    <x v="0"/>
    <n v="495.07499999999999"/>
    <n v="1.4144999999999999"/>
  </r>
  <r>
    <n v="3557"/>
    <n v="1080"/>
    <n v="425"/>
    <n v="1866"/>
    <n v="180"/>
    <n v="1.63"/>
    <n v="1.47"/>
    <n v="1.361"/>
    <n v="0"/>
    <n v="504"/>
    <d v="1899-12-30T06:35:00"/>
    <d v="2025-12-04T00:00:00"/>
    <n v="1"/>
    <n v="0.87"/>
    <n v="1.63"/>
    <n v="4"/>
    <x v="11"/>
    <x v="15"/>
    <x v="11"/>
    <n v="570.5"/>
    <n v="514.5"/>
    <n v="476.35"/>
    <n v="0"/>
    <n v="570.5"/>
    <n v="0.94"/>
    <x v="0"/>
    <n v="495.42500000000001"/>
    <n v="1.4155"/>
  </r>
  <r>
    <n v="3587"/>
    <n v="1097"/>
    <n v="430"/>
    <n v="1878"/>
    <n v="180"/>
    <n v="1.63"/>
    <n v="1.4790000000000001"/>
    <n v="1.361"/>
    <n v="0"/>
    <n v="508"/>
    <d v="1899-12-30T07:02:00"/>
    <d v="2025-12-05T00:00:00"/>
    <n v="0.99"/>
    <n v="1.161"/>
    <n v="1.63"/>
    <n v="5"/>
    <x v="11"/>
    <x v="15"/>
    <x v="11"/>
    <n v="570.5"/>
    <n v="517.65"/>
    <n v="476.35"/>
    <n v="0"/>
    <n v="570.5"/>
    <n v="0.94"/>
    <x v="0"/>
    <n v="497"/>
    <n v="1.42"/>
  </r>
  <r>
    <n v="3615"/>
    <n v="1110"/>
    <n v="435"/>
    <n v="1889"/>
    <n v="180"/>
    <n v="1.63"/>
    <n v="1.4790000000000001"/>
    <n v="1.361"/>
    <n v="0"/>
    <n v="512"/>
    <d v="1899-12-30T06:55:00"/>
    <d v="2025-12-06T00:00:00"/>
    <n v="0.99"/>
    <n v="1.155"/>
    <n v="1.63"/>
    <n v="6"/>
    <x v="11"/>
    <x v="15"/>
    <x v="11"/>
    <n v="570.5"/>
    <n v="517.65"/>
    <n v="476.35"/>
    <n v="0"/>
    <n v="570.5"/>
    <n v="0.94"/>
    <x v="0"/>
    <n v="497"/>
    <n v="1.42"/>
  </r>
  <r>
    <n v="3668"/>
    <n v="1110"/>
    <n v="435"/>
    <n v="1912"/>
    <n v="190"/>
    <n v="1.63"/>
    <n v="1.4790000000000001"/>
    <n v="1.361"/>
    <n v="0"/>
    <n v="516"/>
    <d v="1899-12-30T10:20:00"/>
    <d v="2025-12-07T00:00:00"/>
    <n v="0.99"/>
    <n v="1.06"/>
    <n v="1.63"/>
    <n v="7"/>
    <x v="11"/>
    <x v="43"/>
    <x v="11"/>
    <n v="570.5"/>
    <n v="517.65"/>
    <n v="476.35"/>
    <n v="0"/>
    <n v="570.5"/>
    <n v="0.94"/>
    <x v="0"/>
    <n v="497"/>
    <n v="1.42"/>
  </r>
  <r>
    <n v="3668"/>
    <n v="1110"/>
    <n v="435"/>
    <n v="1932"/>
    <n v="190"/>
    <n v="1.63"/>
    <n v="1.4790000000000001"/>
    <n v="1.4570000000000001"/>
    <n v="0.1414"/>
    <n v="520"/>
    <d v="1899-12-30T06:57:00"/>
    <d v="2025-12-08T00:00:00"/>
    <n v="0.99"/>
    <n v="1.085"/>
    <n v="1.63"/>
    <n v="8"/>
    <x v="11"/>
    <x v="43"/>
    <x v="11"/>
    <n v="570.5"/>
    <n v="517.65"/>
    <n v="509.95000000000005"/>
    <n v="49.49"/>
    <n v="570.5"/>
    <n v="0.94"/>
    <x v="0"/>
    <n v="513.79999999999995"/>
    <n v="1.468"/>
  </r>
  <r>
    <n v="3697"/>
    <n v="1122"/>
    <n v="440"/>
    <n v="1943"/>
    <n v="190"/>
    <n v="1.63"/>
    <n v="1.4790000000000001"/>
    <n v="1.4870000000000001"/>
    <n v="0.1414"/>
    <n v="523"/>
    <d v="1899-12-30T07:04:00"/>
    <d v="2025-12-09T00:00:00"/>
    <n v="0.98"/>
    <n v="0.1178"/>
    <n v="1.63"/>
    <n v="9"/>
    <x v="11"/>
    <x v="43"/>
    <x v="11"/>
    <n v="570.5"/>
    <n v="517.65"/>
    <n v="520.45000000000005"/>
    <n v="49.49"/>
    <n v="570.5"/>
    <n v="0.94"/>
    <x v="0"/>
    <n v="519.04999999999995"/>
    <n v="1.4829999999999999"/>
  </r>
  <r>
    <n v="3725"/>
    <n v="1135"/>
    <n v="445"/>
    <n v="1954"/>
    <n v="190"/>
    <n v="1.63"/>
    <n v="1.4790000000000001"/>
    <n v="1.4870000000000001"/>
    <n v="0.1414"/>
    <n v="527"/>
    <d v="1899-12-30T06:49:00"/>
    <d v="2025-12-10T00:00:00"/>
    <n v="0.99"/>
    <n v="0.93"/>
    <n v="1.63"/>
    <n v="10"/>
    <x v="11"/>
    <x v="43"/>
    <x v="11"/>
    <n v="570.5"/>
    <n v="517.65"/>
    <n v="520.45000000000005"/>
    <n v="49.49"/>
    <n v="570.5"/>
    <n v="0.94"/>
    <x v="0"/>
    <n v="519.04999999999995"/>
    <n v="1.4829999999999999"/>
  </r>
  <r>
    <n v="3753"/>
    <n v="1147"/>
    <n v="450"/>
    <n v="1960"/>
    <n v="190"/>
    <n v="1.63"/>
    <n v="1.4790000000000001"/>
    <n v="1.4870000000000001"/>
    <n v="0.1414"/>
    <n v="530"/>
    <d v="1899-12-30T06:36:00"/>
    <d v="2025-12-11T00:00:00"/>
    <n v="0.98"/>
    <n v="1.0549999999999999"/>
    <n v="1.63"/>
    <n v="11"/>
    <x v="11"/>
    <x v="43"/>
    <x v="11"/>
    <n v="570.5"/>
    <n v="517.65"/>
    <n v="520.45000000000005"/>
    <n v="49.49"/>
    <n v="570.5"/>
    <n v="0.94"/>
    <x v="0"/>
    <n v="519.04999999999995"/>
    <n v="1.4829999999999999"/>
  </r>
  <r>
    <n v="3782"/>
    <n v="1160"/>
    <n v="455"/>
    <n v="1976"/>
    <n v="190"/>
    <n v="1.63"/>
    <n v="1.4790000000000001"/>
    <n v="1.4870000000000001"/>
    <n v="0.1414"/>
    <n v="534"/>
    <d v="1899-12-30T07:01:00"/>
    <d v="2025-12-12T00:00:00"/>
    <n v="0.98"/>
    <n v="0.98899999999999999"/>
    <n v="1.63"/>
    <n v="12"/>
    <x v="11"/>
    <x v="43"/>
    <x v="11"/>
    <n v="570.5"/>
    <n v="517.65"/>
    <n v="520.45000000000005"/>
    <n v="49.49"/>
    <n v="570.5"/>
    <n v="0.94"/>
    <x v="0"/>
    <n v="519.04999999999995"/>
    <n v="1.4829999999999999"/>
  </r>
  <r>
    <n v="3811"/>
    <n v="1173"/>
    <n v="459"/>
    <n v="1988"/>
    <n v="190"/>
    <n v="1.63"/>
    <n v="1.4790000000000001"/>
    <n v="1.4870000000000001"/>
    <n v="0.1414"/>
    <n v="538"/>
    <d v="1899-12-30T07:03:00"/>
    <d v="2025-12-13T00:00:00"/>
    <n v="0.99"/>
    <n v="0.85099999999999998"/>
    <n v="1.63"/>
    <n v="13"/>
    <x v="11"/>
    <x v="43"/>
    <x v="11"/>
    <n v="570.5"/>
    <n v="517.65"/>
    <n v="520.45000000000005"/>
    <n v="49.49"/>
    <n v="570.5"/>
    <n v="0.94"/>
    <x v="0"/>
    <n v="519.04999999999995"/>
    <n v="1.4829999999999999"/>
  </r>
  <r>
    <n v="3839"/>
    <n v="1173"/>
    <n v="459"/>
    <n v="2011"/>
    <n v="195"/>
    <n v="1.63"/>
    <n v="1.4790000000000001"/>
    <n v="1.4870000000000001"/>
    <n v="0.1414"/>
    <n v="541"/>
    <d v="1899-12-30T07:08:00"/>
    <d v="2025-12-14T00:00:00"/>
    <n v="0.98"/>
    <n v="1.3320000000000001"/>
    <n v="1.63"/>
    <n v="14"/>
    <x v="11"/>
    <x v="46"/>
    <x v="11"/>
    <n v="570.5"/>
    <n v="517.65"/>
    <n v="520.45000000000005"/>
    <n v="49.49"/>
    <n v="570.5"/>
    <n v="0.94"/>
    <x v="0"/>
    <n v="519.04999999999995"/>
    <n v="1.4829999999999999"/>
  </r>
  <r>
    <n v="3869"/>
    <n v="1175"/>
    <n v="459"/>
    <n v="2034"/>
    <n v="199"/>
    <n v="1.63"/>
    <n v="1.4790000000000001"/>
    <n v="1.4870000000000001"/>
    <n v="0.1414"/>
    <n v="545"/>
    <d v="1899-12-30T09:30:00"/>
    <d v="2025-12-15T00:00:00"/>
    <n v="0.98"/>
    <n v="1.173"/>
    <n v="1.63"/>
    <n v="15"/>
    <x v="11"/>
    <x v="46"/>
    <x v="11"/>
    <n v="570.5"/>
    <n v="517.65"/>
    <n v="520.45000000000005"/>
    <n v="49.49"/>
    <n v="570.5"/>
    <n v="0.94"/>
    <x v="0"/>
    <n v="519.04999999999995"/>
    <n v="1.4829999999999999"/>
  </r>
  <r>
    <n v="3895"/>
    <n v="1185"/>
    <n v="464"/>
    <n v="2045"/>
    <n v="199"/>
    <n v="1.63"/>
    <n v="1.4790000000000001"/>
    <n v="1.4870000000000001"/>
    <n v="1.1414"/>
    <n v="549"/>
    <d v="1899-12-30T07:26:00"/>
    <d v="2025-12-16T00:00:00"/>
    <n v="0.98"/>
    <n v="1.1259999999999999"/>
    <n v="1.63"/>
    <n v="16"/>
    <x v="11"/>
    <x v="46"/>
    <x v="11"/>
    <n v="570.5"/>
    <n v="517.65"/>
    <n v="520.45000000000005"/>
    <n v="399.49"/>
    <n v="570.5"/>
    <n v="0.94"/>
    <x v="0"/>
    <n v="519.04999999999995"/>
    <n v="1.4829999999999999"/>
  </r>
  <r>
    <n v="3922"/>
    <n v="1198"/>
    <n v="469"/>
    <n v="2055"/>
    <n v="199"/>
    <n v="1.63"/>
    <n v="1.4790000000000001"/>
    <n v="1.4870000000000001"/>
    <n v="1.1414"/>
    <n v="552"/>
    <d v="1899-12-30T06:41:00"/>
    <d v="2025-12-17T00:00:00"/>
    <n v="0.99"/>
    <n v="1.1120000000000001"/>
    <n v="1.63"/>
    <n v="17"/>
    <x v="11"/>
    <x v="46"/>
    <x v="11"/>
    <n v="570.5"/>
    <n v="517.65"/>
    <n v="520.45000000000005"/>
    <n v="399.49"/>
    <n v="570.5"/>
    <n v="0.94"/>
    <x v="0"/>
    <n v="519.04999999999995"/>
    <n v="1.4829999999999999"/>
  </r>
  <r>
    <n v="3951"/>
    <n v="1210"/>
    <n v="474"/>
    <n v="2067"/>
    <n v="199"/>
    <n v="1.63"/>
    <n v="1.4790000000000001"/>
    <n v="1.4870000000000001"/>
    <n v="1.1414"/>
    <n v="556"/>
    <d v="1899-12-30T06:40:00"/>
    <d v="2025-12-18T00:00:00"/>
    <n v="0.98"/>
    <n v="1.083"/>
    <n v="1.63"/>
    <n v="18"/>
    <x v="11"/>
    <x v="46"/>
    <x v="11"/>
    <n v="570.5"/>
    <n v="517.65"/>
    <n v="520.45000000000005"/>
    <n v="399.49"/>
    <n v="570.5"/>
    <n v="0.94"/>
    <x v="0"/>
    <n v="519.04999999999995"/>
    <n v="1.4829999999999999"/>
  </r>
  <r>
    <n v="3981"/>
    <n v="1223"/>
    <n v="478"/>
    <n v="2078"/>
    <n v="199"/>
    <n v="1.63"/>
    <n v="1.4790000000000001"/>
    <n v="1.4870000000000001"/>
    <n v="1.4139999999999999"/>
    <n v="560"/>
    <d v="1899-12-30T06:29:00"/>
    <d v="2025-12-19T00:00:00"/>
    <n v="0.98"/>
    <n v="1.1100000000000001"/>
    <n v="1.63"/>
    <n v="19"/>
    <x v="11"/>
    <x v="46"/>
    <x v="11"/>
    <n v="570.5"/>
    <n v="517.65"/>
    <n v="520.45000000000005"/>
    <n v="494.9"/>
    <n v="570.5"/>
    <n v="0.94"/>
    <x v="0"/>
    <n v="519.04999999999995"/>
    <n v="1.4829999999999999"/>
  </r>
  <r>
    <n v="4010"/>
    <n v="1236"/>
    <n v="484"/>
    <n v="2090"/>
    <n v="199"/>
    <n v="1.63"/>
    <n v="1.4790000000000001"/>
    <n v="1.4870000000000001"/>
    <n v="1.4139999999999999"/>
    <n v="565"/>
    <d v="1899-12-30T07:04:00"/>
    <d v="2025-12-20T00:00:00"/>
    <n v="0.98"/>
    <n v="1.0209999999999999"/>
    <n v="1.63"/>
    <n v="20"/>
    <x v="11"/>
    <x v="46"/>
    <x v="11"/>
    <n v="570.5"/>
    <n v="517.65"/>
    <n v="520.45000000000005"/>
    <n v="494.9"/>
    <n v="570.5"/>
    <n v="0.94"/>
    <x v="0"/>
    <n v="519.04999999999995"/>
    <n v="1.4829999999999999"/>
  </r>
  <r>
    <n v="4041"/>
    <n v="1236"/>
    <n v="484"/>
    <n v="2116"/>
    <n v="204"/>
    <n v="1.63"/>
    <n v="1.4790000000000001"/>
    <n v="1.5609999999999999"/>
    <n v="1.421"/>
    <n v="569"/>
    <d v="1899-12-30T07:07:00"/>
    <d v="2025-12-21T00:00:00"/>
    <n v="0.98"/>
    <n v="1.165"/>
    <n v="1.63"/>
    <n v="21"/>
    <x v="11"/>
    <x v="47"/>
    <x v="11"/>
    <n v="570.5"/>
    <n v="517.65"/>
    <n v="546.35"/>
    <n v="497.35"/>
    <n v="570.5"/>
    <n v="0.94"/>
    <x v="0"/>
    <n v="532"/>
    <n v="1.52"/>
  </r>
  <r>
    <n v="4071"/>
    <n v="1236"/>
    <n v="484"/>
    <n v="2140"/>
    <n v="209"/>
    <n v="1.63"/>
    <n v="1.4790000000000001"/>
    <n v="1.5609999999999999"/>
    <n v="1.421"/>
    <n v="572"/>
    <d v="1899-12-30T07:08:00"/>
    <d v="2025-12-22T00:00:00"/>
    <n v="0.98"/>
    <n v="1.157"/>
    <n v="1.63"/>
    <n v="22"/>
    <x v="11"/>
    <x v="47"/>
    <x v="11"/>
    <n v="570.5"/>
    <n v="517.65"/>
    <n v="546.35"/>
    <n v="497.35"/>
    <n v="570.5"/>
    <n v="0.94"/>
    <x v="0"/>
    <n v="532"/>
    <n v="1.52"/>
  </r>
  <r>
    <n v="4101"/>
    <n v="1249"/>
    <n v="489"/>
    <n v="2152"/>
    <n v="209"/>
    <n v="1.63"/>
    <n v="1.4790000000000001"/>
    <n v="1.5609999999999999"/>
    <n v="1.421"/>
    <n v="575"/>
    <d v="1899-12-30T07:36:00"/>
    <d v="2025-12-23T00:00:00"/>
    <n v="0.98"/>
    <n v="1.07"/>
    <n v="1.63"/>
    <n v="23"/>
    <x v="11"/>
    <x v="47"/>
    <x v="11"/>
    <n v="570.5"/>
    <n v="517.65"/>
    <n v="546.35"/>
    <n v="497.35"/>
    <n v="570.5"/>
    <n v="0.94"/>
    <x v="0"/>
    <n v="532"/>
    <n v="1.52"/>
  </r>
  <r>
    <n v="4130"/>
    <n v="1262"/>
    <n v="494"/>
    <n v="2163"/>
    <n v="209"/>
    <n v="1.63"/>
    <n v="1.4790000000000001"/>
    <n v="1.5609999999999999"/>
    <n v="1.421"/>
    <n v="578"/>
    <d v="1899-12-30T06:44:00"/>
    <d v="2025-12-24T00:00:00"/>
    <n v="0.99"/>
    <n v="1.024"/>
    <n v="1.63"/>
    <n v="24"/>
    <x v="11"/>
    <x v="47"/>
    <x v="11"/>
    <n v="570.5"/>
    <n v="517.65"/>
    <n v="546.35"/>
    <n v="497.35"/>
    <n v="570.5"/>
    <n v="0.94"/>
    <x v="0"/>
    <n v="532"/>
    <n v="1.52"/>
  </r>
  <r>
    <n v="4160"/>
    <n v="1275"/>
    <n v="499"/>
    <n v="2175"/>
    <n v="209"/>
    <n v="1.63"/>
    <n v="1.4790000000000001"/>
    <n v="1.5609999999999999"/>
    <n v="1.421"/>
    <n v="582"/>
    <d v="1899-12-30T06:50:00"/>
    <d v="2025-12-25T00:00:00"/>
    <n v="0.98"/>
    <n v="1.2629999999999999"/>
    <n v="1.63"/>
    <n v="25"/>
    <x v="11"/>
    <x v="47"/>
    <x v="11"/>
    <n v="570.5"/>
    <n v="517.65"/>
    <n v="546.35"/>
    <n v="497.35"/>
    <n v="570.5"/>
    <n v="0.94"/>
    <x v="0"/>
    <n v="532"/>
    <n v="1.52"/>
  </r>
  <r>
    <n v="4190"/>
    <n v="1275"/>
    <n v="504"/>
    <n v="2200"/>
    <n v="215"/>
    <n v="1.63"/>
    <n v="1.4790000000000001"/>
    <n v="1.5609999999999999"/>
    <n v="1.421"/>
    <n v="586"/>
    <d v="1899-12-30T07:04:00"/>
    <d v="2025-12-26T00:00:00"/>
    <n v="0.99"/>
    <n v="1.1599999999999999"/>
    <n v="1.63"/>
    <n v="26"/>
    <x v="11"/>
    <x v="47"/>
    <x v="11"/>
    <n v="570.5"/>
    <n v="517.65"/>
    <n v="546.35"/>
    <n v="497.35"/>
    <n v="570.5"/>
    <n v="0.94"/>
    <x v="0"/>
    <n v="532"/>
    <n v="1.52"/>
  </r>
  <r>
    <n v="4221"/>
    <n v="1288"/>
    <n v="504"/>
    <n v="2213"/>
    <n v="215"/>
    <n v="1.63"/>
    <n v="1.4790000000000001"/>
    <n v="1.5609999999999999"/>
    <n v="1.421"/>
    <n v="590"/>
    <d v="1899-12-30T07:14:00"/>
    <d v="2025-12-27T00:00:00"/>
    <n v="0.98"/>
    <n v="1.071"/>
    <n v="1.63"/>
    <n v="27"/>
    <x v="11"/>
    <x v="47"/>
    <x v="11"/>
    <n v="570.5"/>
    <n v="517.65"/>
    <n v="546.35"/>
    <n v="497.35"/>
    <n v="570.5"/>
    <n v="0.94"/>
    <x v="0"/>
    <n v="532"/>
    <n v="1.52"/>
  </r>
  <r>
    <n v="4253"/>
    <n v="1288"/>
    <n v="504"/>
    <n v="2239"/>
    <n v="220"/>
    <n v="1.63"/>
    <n v="1.4790000000000001"/>
    <n v="1.5609999999999999"/>
    <n v="1.4790000000000001"/>
    <n v="594"/>
    <d v="1899-12-30T08:43:00"/>
    <d v="2025-12-28T00:00:00"/>
    <n v="0.99"/>
    <n v="1.075"/>
    <n v="1.63"/>
    <n v="28"/>
    <x v="11"/>
    <x v="48"/>
    <x v="11"/>
    <n v="570.5"/>
    <n v="517.65"/>
    <n v="546.35"/>
    <n v="517.65"/>
    <n v="570.5"/>
    <n v="0.94"/>
    <x v="0"/>
    <n v="532"/>
    <n v="1.52"/>
  </r>
  <r>
    <n v="4282"/>
    <n v="1288"/>
    <n v="504"/>
    <n v="2263"/>
    <n v="225"/>
    <n v="1.63"/>
    <n v="1.4790000000000001"/>
    <n v="1.5609999999999999"/>
    <n v="1.4790000000000001"/>
    <n v="597"/>
    <d v="1899-12-30T08:00:00"/>
    <d v="2025-12-29T00:00:00"/>
    <n v="0.99"/>
    <n v="1.145"/>
    <n v="1.63"/>
    <n v="29"/>
    <x v="11"/>
    <x v="48"/>
    <x v="11"/>
    <n v="570.5"/>
    <n v="517.65"/>
    <n v="546.35"/>
    <n v="517.65"/>
    <n v="570.5"/>
    <n v="0.94"/>
    <x v="0"/>
    <n v="532"/>
    <n v="1.52"/>
  </r>
  <r>
    <n v="4369"/>
    <n v="1327"/>
    <n v="520"/>
    <n v="2297"/>
    <n v="225"/>
    <n v="0"/>
    <n v="0"/>
    <n v="1.351"/>
    <n v="0"/>
    <n v="600"/>
    <d v="1899-12-30T00:00:00"/>
    <d v="2026-01-01T00:00:00"/>
    <n v="0.99"/>
    <n v="1.1359999999999999"/>
    <n v="1.351"/>
    <n v="1"/>
    <x v="0"/>
    <x v="0"/>
    <x v="0"/>
    <n v="0"/>
    <n v="0"/>
    <n v="472.84999999999997"/>
    <n v="0"/>
    <n v="472.84999999999997"/>
    <n v="0.94"/>
    <x v="1"/>
    <n v="0"/>
    <n v="0"/>
  </r>
  <r>
    <n v="4399"/>
    <n v="1327"/>
    <n v="520"/>
    <n v="2322"/>
    <n v="230"/>
    <n v="0"/>
    <n v="0"/>
    <n v="1.4530000000000001"/>
    <n v="1.3280000000000001"/>
    <n v="612"/>
    <d v="1899-12-30T06:00:00"/>
    <d v="2026-01-02T00:00:00"/>
    <n v="0.99"/>
    <n v="1.367"/>
    <n v="1.4530000000000001"/>
    <n v="2"/>
    <x v="0"/>
    <x v="0"/>
    <x v="0"/>
    <n v="0"/>
    <n v="0"/>
    <n v="508.55"/>
    <n v="464.8"/>
    <n v="508.55"/>
    <n v="0.94"/>
    <x v="1"/>
    <n v="232.4"/>
    <n v="0.66400000000000003"/>
  </r>
  <r>
    <n v="4429"/>
    <n v="1340"/>
    <n v="525"/>
    <n v="2333"/>
    <n v="230"/>
    <n v="1.49"/>
    <n v="1.4350000000000001"/>
    <n v="1.4530000000000001"/>
    <n v="1.3280000000000001"/>
    <n v="616"/>
    <d v="1899-12-30T06:00:00"/>
    <d v="2026-01-03T00:00:00"/>
    <n v="0.99"/>
    <n v="1.296"/>
    <n v="1.49"/>
    <n v="3"/>
    <x v="0"/>
    <x v="0"/>
    <x v="0"/>
    <n v="521.5"/>
    <n v="502.25"/>
    <n v="508.55"/>
    <n v="464.8"/>
    <n v="521.5"/>
    <n v="0.94"/>
    <x v="1"/>
    <n v="505.4"/>
    <n v="1.444"/>
  </r>
  <r>
    <n v="4459"/>
    <n v="1340"/>
    <n v="525"/>
    <n v="2358"/>
    <n v="235"/>
    <n v="1.49"/>
    <n v="1.4350000000000001"/>
    <n v="1.466"/>
    <n v="1.3779999999999999"/>
    <n v="620"/>
    <d v="1899-12-30T05:59:00"/>
    <d v="2026-01-04T00:00:00"/>
    <n v="0.99"/>
    <n v="1.2769999999999999"/>
    <n v="1.49"/>
    <n v="4"/>
    <x v="0"/>
    <x v="1"/>
    <x v="0"/>
    <n v="521.5"/>
    <n v="502.25"/>
    <n v="513.1"/>
    <n v="482.29999999999995"/>
    <n v="521.5"/>
    <n v="0.94"/>
    <x v="1"/>
    <n v="507.67500000000001"/>
    <n v="1.4505000000000001"/>
  </r>
  <r>
    <n v="4488"/>
    <n v="1340"/>
    <n v="525"/>
    <n v="2382"/>
    <n v="240"/>
    <n v="1.49"/>
    <n v="1.4350000000000001"/>
    <n v="1.466"/>
    <n v="1.3779999999999999"/>
    <n v="624"/>
    <d v="1899-12-30T06:00:00"/>
    <d v="2026-01-05T00:00:00"/>
    <n v="0.99"/>
    <n v="9.7299999999999998E-2"/>
    <n v="1.49"/>
    <n v="5"/>
    <x v="0"/>
    <x v="1"/>
    <x v="0"/>
    <n v="521.5"/>
    <n v="502.25"/>
    <n v="513.1"/>
    <n v="482.29999999999995"/>
    <n v="521.5"/>
    <n v="0.94"/>
    <x v="1"/>
    <n v="507.67500000000001"/>
    <n v="1.4505000000000001"/>
  </r>
  <r>
    <n v="4518"/>
    <n v="1353"/>
    <n v="530"/>
    <n v="2394"/>
    <n v="240"/>
    <n v="1.49"/>
    <n v="1.4350000000000001"/>
    <n v="1.466"/>
    <n v="1.3779999999999999"/>
    <n v="628"/>
    <d v="1899-12-30T06:01:00"/>
    <d v="2026-01-06T00:00:00"/>
    <n v="0.99"/>
    <n v="1.236"/>
    <n v="1.49"/>
    <n v="6"/>
    <x v="0"/>
    <x v="1"/>
    <x v="0"/>
    <n v="521.5"/>
    <n v="502.25"/>
    <n v="513.1"/>
    <n v="482.29999999999995"/>
    <n v="521.5"/>
    <n v="0.94"/>
    <x v="1"/>
    <n v="507.67500000000001"/>
    <n v="1.4505000000000001"/>
  </r>
  <r>
    <n v="4548"/>
    <n v="1366"/>
    <n v="535"/>
    <n v="2406"/>
    <n v="240"/>
    <n v="1.49"/>
    <n v="1.4350000000000001"/>
    <n v="1.466"/>
    <n v="1.3779999999999999"/>
    <n v="631"/>
    <d v="1899-12-30T06:00:00"/>
    <d v="2026-01-07T00:00:00"/>
    <n v="0.98"/>
    <n v="1.2150000000000001"/>
    <n v="1.49"/>
    <n v="7"/>
    <x v="0"/>
    <x v="1"/>
    <x v="0"/>
    <n v="521.5"/>
    <n v="502.25"/>
    <n v="513.1"/>
    <n v="482.29999999999995"/>
    <n v="521.5"/>
    <n v="0.94"/>
    <x v="1"/>
    <n v="507.67500000000001"/>
    <n v="1.4505000000000001"/>
  </r>
  <r>
    <n v="4579"/>
    <n v="1379"/>
    <n v="540"/>
    <n v="2418"/>
    <n v="240"/>
    <n v="1.5069999999999999"/>
    <n v="1.4350000000000001"/>
    <n v="1.466"/>
    <n v="1.3779999999999999"/>
    <n v="634"/>
    <d v="1899-12-30T06:03:00"/>
    <d v="2026-01-08T00:00:00"/>
    <n v="0.99"/>
    <n v="1.155"/>
    <n v="1.5069999999999999"/>
    <n v="8"/>
    <x v="0"/>
    <x v="1"/>
    <x v="0"/>
    <n v="527.44999999999993"/>
    <n v="502.25"/>
    <n v="513.1"/>
    <n v="482.29999999999995"/>
    <n v="527.44999999999993"/>
    <n v="0.94"/>
    <x v="1"/>
    <n v="507.67500000000001"/>
    <n v="1.4505000000000001"/>
  </r>
  <r>
    <n v="4609"/>
    <n v="1392"/>
    <n v="545"/>
    <n v="2430"/>
    <n v="240"/>
    <n v="1.51"/>
    <n v="1.4350000000000001"/>
    <n v="1.466"/>
    <n v="1.3779999999999999"/>
    <n v="634"/>
    <d v="1899-12-30T06:05:00"/>
    <d v="2026-01-09T00:00:00"/>
    <n v="0.99"/>
    <n v="0.11700000000000001"/>
    <n v="1.51"/>
    <n v="9"/>
    <x v="0"/>
    <x v="1"/>
    <x v="0"/>
    <n v="528.5"/>
    <n v="502.25"/>
    <n v="513.1"/>
    <n v="482.29999999999995"/>
    <n v="528.5"/>
    <n v="0.94"/>
    <x v="1"/>
    <n v="507.67500000000001"/>
    <n v="1.4505000000000001"/>
  </r>
  <r>
    <n v="4638"/>
    <n v="1405"/>
    <n v="550"/>
    <n v="2442"/>
    <n v="240"/>
    <n v="1.579"/>
    <n v="1.5149999999999999"/>
    <n v="1.466"/>
    <n v="1.3779999999999999"/>
    <n v="641"/>
    <d v="1899-12-30T06:00:00"/>
    <d v="2026-01-10T00:00:00"/>
    <n v="0.98"/>
    <n v="0.108"/>
    <n v="1.579"/>
    <n v="10"/>
    <x v="0"/>
    <x v="1"/>
    <x v="0"/>
    <n v="552.65"/>
    <n v="530.25"/>
    <n v="513.1"/>
    <n v="482.29999999999995"/>
    <n v="552.65"/>
    <n v="0.94"/>
    <x v="1"/>
    <n v="521.67499999999995"/>
    <n v="1.4904999999999999"/>
  </r>
  <r>
    <n v="4668"/>
    <n v="1405"/>
    <n v="550"/>
    <n v="2467"/>
    <n v="245"/>
    <n v="1.579"/>
    <n v="1.5149999999999999"/>
    <n v="1.5029999999999999"/>
    <n v="1.3779999999999999"/>
    <n v="645"/>
    <d v="1899-12-30T06:02:00"/>
    <d v="2026-01-11T00:00:00"/>
    <n v="0.99"/>
    <n v="0.11799999999999999"/>
    <n v="1.579"/>
    <n v="11"/>
    <x v="0"/>
    <x v="2"/>
    <x v="0"/>
    <n v="552.65"/>
    <n v="530.25"/>
    <n v="526.04999999999995"/>
    <n v="482.29999999999995"/>
    <n v="552.65"/>
    <n v="0.94"/>
    <x v="1"/>
    <n v="528.15"/>
    <n v="1.5089999999999999"/>
  </r>
  <r>
    <n v="4697"/>
    <n v="1405"/>
    <n v="550"/>
    <n v="2490"/>
    <n v="250"/>
    <n v="1.579"/>
    <n v="1.5149999999999999"/>
    <n v="1.5029999999999999"/>
    <n v="1.399"/>
    <n v="648"/>
    <d v="1899-12-30T05:59:00"/>
    <d v="2026-01-12T00:00:00"/>
    <n v="0.99"/>
    <n v="0.122"/>
    <n v="1.579"/>
    <n v="12"/>
    <x v="0"/>
    <x v="2"/>
    <x v="0"/>
    <n v="552.65"/>
    <n v="530.25"/>
    <n v="526.04999999999995"/>
    <n v="489.65000000000003"/>
    <n v="552.65"/>
    <n v="0.94"/>
    <x v="1"/>
    <n v="528.15"/>
    <n v="1.5089999999999999"/>
  </r>
  <r>
    <n v="4726"/>
    <n v="1417"/>
    <n v="555"/>
    <n v="2502"/>
    <n v="250"/>
    <n v="1.579"/>
    <n v="1.5149999999999999"/>
    <n v="1.5029999999999999"/>
    <n v="1.399"/>
    <n v="651"/>
    <d v="1899-12-30T06:34:00"/>
    <d v="2026-01-13T00:00:00"/>
    <n v="0.99"/>
    <n v="0.1154"/>
    <n v="1.579"/>
    <n v="13"/>
    <x v="0"/>
    <x v="2"/>
    <x v="0"/>
    <n v="552.65"/>
    <n v="530.25"/>
    <n v="526.04999999999995"/>
    <n v="489.65000000000003"/>
    <n v="552.65"/>
    <n v="0.94"/>
    <x v="1"/>
    <n v="528.15"/>
    <n v="1.5089999999999999"/>
  </r>
  <r>
    <n v="4754"/>
    <n v="1429"/>
    <n v="560"/>
    <n v="2514"/>
    <n v="250"/>
    <n v="1.579"/>
    <n v="1.5149999999999999"/>
    <n v="1.5029999999999999"/>
    <n v="1.399"/>
    <n v="655"/>
    <d v="1899-12-30T06:01:00"/>
    <d v="2026-01-14T00:00:00"/>
    <n v="0.99"/>
    <n v="0.1149"/>
    <n v="1.579"/>
    <n v="14"/>
    <x v="0"/>
    <x v="2"/>
    <x v="0"/>
    <n v="552.65"/>
    <n v="530.25"/>
    <n v="526.04999999999995"/>
    <n v="489.65000000000003"/>
    <n v="552.65"/>
    <n v="0.94"/>
    <x v="1"/>
    <n v="528.15"/>
    <n v="1.5089999999999999"/>
  </r>
  <r>
    <n v="4784"/>
    <n v="1442"/>
    <n v="560"/>
    <n v="2525"/>
    <n v="250"/>
    <n v="1.579"/>
    <n v="1.5149999999999999"/>
    <n v="1.5029999999999999"/>
    <n v="1.399"/>
    <n v="659"/>
    <d v="1899-12-30T06:01:00"/>
    <d v="2026-01-15T00:00:00"/>
    <n v="0.99"/>
    <n v="0.12470000000000001"/>
    <n v="1.579"/>
    <n v="15"/>
    <x v="0"/>
    <x v="2"/>
    <x v="0"/>
    <n v="552.65"/>
    <n v="530.25"/>
    <n v="526.04999999999995"/>
    <n v="489.65000000000003"/>
    <n v="552.65"/>
    <n v="0.94"/>
    <x v="1"/>
    <n v="528.15"/>
    <n v="1.5089999999999999"/>
  </r>
  <r>
    <n v="4814"/>
    <n v="1455"/>
    <n v="570"/>
    <n v="2538"/>
    <n v="250"/>
    <n v="1.579"/>
    <n v="1.5149999999999999"/>
    <n v="1.5029999999999999"/>
    <n v="1.399"/>
    <n v="602"/>
    <d v="1899-12-30T06:09:00"/>
    <d v="2026-01-16T00:00:00"/>
    <n v="0.99"/>
    <n v="0.12"/>
    <n v="1.579"/>
    <n v="16"/>
    <x v="0"/>
    <x v="2"/>
    <x v="0"/>
    <n v="552.65"/>
    <n v="530.25"/>
    <n v="526.04999999999995"/>
    <n v="489.65000000000003"/>
    <n v="552.65"/>
    <n v="0.94"/>
    <x v="1"/>
    <n v="528.15"/>
    <n v="1.5089999999999999"/>
  </r>
  <r>
    <n v="4843"/>
    <n v="1467"/>
    <n v="576"/>
    <n v="2550"/>
    <n v="250"/>
    <n v="1.579"/>
    <n v="1.5980000000000001"/>
    <n v="1.5029999999999999"/>
    <n v="1.399"/>
    <n v="666"/>
    <d v="1899-12-30T06:00:00"/>
    <d v="2026-01-17T00:00:00"/>
    <n v="0.99"/>
    <n v="0.1085"/>
    <n v="1.5980000000000001"/>
    <n v="17"/>
    <x v="0"/>
    <x v="2"/>
    <x v="0"/>
    <n v="552.65"/>
    <n v="559.30000000000007"/>
    <n v="526.04999999999995"/>
    <n v="489.65000000000003"/>
    <n v="559.30000000000007"/>
    <n v="0.94"/>
    <x v="1"/>
    <n v="539.34999999999991"/>
    <n v="1.5409999999999997"/>
  </r>
  <r>
    <n v="4874"/>
    <n v="1467"/>
    <n v="576"/>
    <n v="2575"/>
    <n v="255"/>
    <n v="1.579"/>
    <n v="1.5980000000000001"/>
    <n v="1.5029999999999999"/>
    <n v="1.464"/>
    <n v="671"/>
    <d v="1899-12-30T05:59:00"/>
    <d v="2026-01-18T00:00:00"/>
    <n v="1"/>
    <n v="0.1132"/>
    <n v="1.5980000000000001"/>
    <n v="18"/>
    <x v="0"/>
    <x v="3"/>
    <x v="0"/>
    <n v="552.65"/>
    <n v="559.30000000000007"/>
    <n v="526.04999999999995"/>
    <n v="512.4"/>
    <n v="559.30000000000007"/>
    <n v="0.94"/>
    <x v="1"/>
    <n v="539.34999999999991"/>
    <n v="1.5409999999999997"/>
  </r>
  <r>
    <n v="4904"/>
    <n v="1467"/>
    <n v="576"/>
    <n v="2600"/>
    <n v="260"/>
    <n v="1.579"/>
    <n v="1.5980000000000001"/>
    <n v="1.5029999999999999"/>
    <n v="1.4710000000000001"/>
    <n v="674"/>
    <d v="1899-12-30T05:57:00"/>
    <d v="2026-01-19T00:00:00"/>
    <n v="0.98"/>
    <n v="0.1384"/>
    <n v="1.5980000000000001"/>
    <n v="19"/>
    <x v="0"/>
    <x v="3"/>
    <x v="0"/>
    <n v="552.65"/>
    <n v="559.30000000000007"/>
    <n v="526.04999999999995"/>
    <n v="514.85"/>
    <n v="559.30000000000007"/>
    <n v="0.94"/>
    <x v="1"/>
    <n v="539.34999999999991"/>
    <n v="1.5409999999999997"/>
  </r>
  <r>
    <n v="4934"/>
    <n v="1479"/>
    <n v="581"/>
    <n v="2612"/>
    <n v="260"/>
    <n v="1.579"/>
    <n v="1.5980000000000001"/>
    <n v="1.5029999999999999"/>
    <n v="1.4710000000000001"/>
    <n v="678"/>
    <d v="1899-12-30T06:04:00"/>
    <d v="2026-01-20T00:00:00"/>
    <n v="0.98"/>
    <n v="0.13059999999999999"/>
    <n v="1.5980000000000001"/>
    <n v="20"/>
    <x v="0"/>
    <x v="3"/>
    <x v="0"/>
    <n v="552.65"/>
    <n v="559.30000000000007"/>
    <n v="526.04999999999995"/>
    <n v="514.85"/>
    <n v="559.30000000000007"/>
    <n v="0.94"/>
    <x v="1"/>
    <n v="539.34999999999991"/>
    <n v="1.5409999999999997"/>
  </r>
  <r>
    <n v="4965"/>
    <n v="1493"/>
    <n v="586"/>
    <n v="2624"/>
    <n v="260"/>
    <n v="1.579"/>
    <n v="1.5980000000000001"/>
    <n v="1.5029999999999999"/>
    <n v="1.4710000000000001"/>
    <n v="682"/>
    <d v="1899-12-30T06:21:00"/>
    <d v="2026-01-21T00:00:00"/>
    <n v="0.99"/>
    <n v="0.1239"/>
    <n v="1.5980000000000001"/>
    <n v="21"/>
    <x v="0"/>
    <x v="3"/>
    <x v="0"/>
    <n v="552.65"/>
    <n v="559.30000000000007"/>
    <n v="526.04999999999995"/>
    <n v="514.85"/>
    <n v="559.30000000000007"/>
    <n v="0.94"/>
    <x v="1"/>
    <n v="539.34999999999991"/>
    <n v="1.5409999999999997"/>
  </r>
  <r>
    <n v="4995"/>
    <n v="1506"/>
    <n v="591"/>
    <n v="2636"/>
    <n v="260"/>
    <n v="1.579"/>
    <n v="1.5980000000000001"/>
    <n v="1.5029999999999999"/>
    <n v="1.4710000000000001"/>
    <n v="685"/>
    <d v="1899-12-30T06:13:00"/>
    <d v="2026-01-22T00:00:00"/>
    <n v="0.99"/>
    <n v="0.12540000000000001"/>
    <n v="1.5980000000000001"/>
    <n v="22"/>
    <x v="0"/>
    <x v="3"/>
    <x v="0"/>
    <n v="552.65"/>
    <n v="559.30000000000007"/>
    <n v="526.04999999999995"/>
    <n v="514.85"/>
    <n v="559.30000000000007"/>
    <n v="0.94"/>
    <x v="1"/>
    <n v="539.34999999999991"/>
    <n v="1.5409999999999997"/>
  </r>
  <r>
    <n v="5025"/>
    <n v="1519"/>
    <n v="596"/>
    <n v="2640"/>
    <n v="260"/>
    <n v="1.579"/>
    <n v="1.5980000000000001"/>
    <n v="1.5029999999999999"/>
    <n v="1.4710000000000001"/>
    <n v="688"/>
    <d v="1899-12-30T06:15:00"/>
    <d v="2026-01-23T00:00:00"/>
    <n v="0.99"/>
    <n v="0.11940000000000001"/>
    <n v="1.5980000000000001"/>
    <n v="23"/>
    <x v="0"/>
    <x v="3"/>
    <x v="0"/>
    <n v="552.65"/>
    <n v="559.30000000000007"/>
    <n v="526.04999999999995"/>
    <n v="514.85"/>
    <n v="559.30000000000007"/>
    <n v="0.94"/>
    <x v="1"/>
    <n v="539.34999999999991"/>
    <n v="1.5409999999999997"/>
  </r>
  <r>
    <n v="5055"/>
    <n v="1531"/>
    <n v="601"/>
    <n v="2640"/>
    <n v="260"/>
    <n v="1.579"/>
    <n v="1.5980000000000001"/>
    <n v="1.5029999999999999"/>
    <n v="1.4710000000000001"/>
    <n v="692"/>
    <d v="1899-12-30T06:01:00"/>
    <d v="2026-01-24T00:00:00"/>
    <n v="0.99"/>
    <n v="0.12540000000000001"/>
    <n v="1.5980000000000001"/>
    <n v="24"/>
    <x v="0"/>
    <x v="3"/>
    <x v="0"/>
    <n v="552.65"/>
    <n v="559.30000000000007"/>
    <n v="526.04999999999995"/>
    <n v="514.85"/>
    <n v="559.30000000000007"/>
    <n v="0.94"/>
    <x v="1"/>
    <n v="539.34999999999991"/>
    <n v="1.5409999999999997"/>
  </r>
  <r>
    <n v="5084"/>
    <n v="1531"/>
    <n v="601"/>
    <n v="2685"/>
    <n v="265"/>
    <n v="1.579"/>
    <n v="1.5980000000000001"/>
    <n v="1.5469999999999999"/>
    <n v="1.4710000000000001"/>
    <n v="695"/>
    <d v="1899-12-30T06:00:00"/>
    <d v="2026-01-25T00:00:00"/>
    <n v="0.99"/>
    <n v="0.1087"/>
    <n v="1.5980000000000001"/>
    <n v="25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114"/>
    <n v="1531"/>
    <n v="601"/>
    <n v="2709"/>
    <n v="270"/>
    <n v="1.579"/>
    <n v="1.5980000000000001"/>
    <n v="1.5469999999999999"/>
    <n v="1.4710000000000001"/>
    <n v="699"/>
    <d v="1899-12-30T05:59:00"/>
    <d v="2026-01-26T00:00:00"/>
    <n v="0.99"/>
    <n v="1.2410000000000001"/>
    <n v="1.5980000000000001"/>
    <n v="26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144"/>
    <n v="1544"/>
    <n v="606"/>
    <n v="2722"/>
    <n v="270"/>
    <n v="1.579"/>
    <n v="1.5980000000000001"/>
    <n v="1.5469999999999999"/>
    <n v="1.4710000000000001"/>
    <n v="702"/>
    <d v="1899-12-30T06:16:00"/>
    <d v="2026-01-27T00:00:00"/>
    <n v="0.99"/>
    <n v="1.375"/>
    <n v="1.5980000000000001"/>
    <n v="27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174"/>
    <n v="1557"/>
    <n v="611"/>
    <n v="2733"/>
    <n v="270"/>
    <n v="1.579"/>
    <n v="1.5980000000000001"/>
    <n v="1.5469999999999999"/>
    <n v="1.4710000000000001"/>
    <n v="706"/>
    <d v="1899-12-30T05:55:00"/>
    <d v="2026-01-28T00:00:00"/>
    <n v="0.99"/>
    <n v="1.165"/>
    <n v="1.5980000000000001"/>
    <n v="28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204"/>
    <n v="1570"/>
    <n v="617"/>
    <n v="2746"/>
    <n v="270"/>
    <n v="1.579"/>
    <n v="1.5980000000000001"/>
    <n v="1.5469999999999999"/>
    <n v="1.4710000000000001"/>
    <n v="710"/>
    <d v="1899-12-30T06:05:00"/>
    <d v="2026-01-29T00:00:00"/>
    <n v="0.99"/>
    <n v="1.206"/>
    <n v="1.5980000000000001"/>
    <n v="29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235"/>
    <n v="1583"/>
    <n v="622"/>
    <n v="2758"/>
    <n v="270"/>
    <n v="1.579"/>
    <n v="1.5980000000000001"/>
    <n v="1.5469999999999999"/>
    <n v="1.4710000000000001"/>
    <n v="714"/>
    <d v="1899-12-30T06:04:35"/>
    <d v="2026-01-30T00:00:00"/>
    <n v="0.98"/>
    <n v="1.244"/>
    <n v="1.5980000000000001"/>
    <n v="30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265"/>
    <n v="1579"/>
    <n v="627"/>
    <n v="2770"/>
    <n v="270"/>
    <n v="1.579"/>
    <n v="1.5980000000000001"/>
    <n v="1.5469999999999999"/>
    <n v="1.4710000000000001"/>
    <n v="717"/>
    <d v="1899-12-30T06:00:44"/>
    <d v="2026-01-31T00:00:00"/>
    <n v="0.98"/>
    <n v="1.6"/>
    <n v="1.5980000000000001"/>
    <n v="31"/>
    <x v="0"/>
    <x v="4"/>
    <x v="0"/>
    <n v="552.65"/>
    <n v="559.30000000000007"/>
    <n v="541.44999999999993"/>
    <n v="514.85"/>
    <n v="559.30000000000007"/>
    <n v="0.94"/>
    <x v="1"/>
    <n v="547.04999999999995"/>
    <n v="1.5629999999999999"/>
  </r>
  <r>
    <n v="5295"/>
    <n v="1596"/>
    <n v="627"/>
    <n v="2795"/>
    <n v="275"/>
    <n v="0"/>
    <n v="0"/>
    <n v="1.2609999999999999"/>
    <n v="0"/>
    <n v="721"/>
    <d v="1899-12-30T06:11:10"/>
    <d v="2026-02-01T00:00:00"/>
    <n v="0.99"/>
    <n v="1.1850000000000001"/>
    <n v="1.2609999999999999"/>
    <n v="1"/>
    <x v="1"/>
    <x v="5"/>
    <x v="1"/>
    <n v="0"/>
    <n v="0"/>
    <n v="441.34999999999997"/>
    <n v="0"/>
    <n v="441.34999999999997"/>
    <n v="0.94"/>
    <x v="1"/>
    <n v="0"/>
    <n v="0"/>
  </r>
  <r>
    <n v="5324"/>
    <n v="1596"/>
    <n v="627"/>
    <n v="2819"/>
    <n v="280"/>
    <n v="0"/>
    <n v="0"/>
    <n v="1.46"/>
    <n v="1.3360000000000001"/>
    <n v="725"/>
    <d v="1899-12-30T06:10:19"/>
    <d v="2026-02-02T00:00:00"/>
    <n v="0.99"/>
    <n v="1.1850000000000001"/>
    <n v="1.46"/>
    <n v="2"/>
    <x v="1"/>
    <x v="5"/>
    <x v="1"/>
    <n v="0"/>
    <n v="0"/>
    <n v="511"/>
    <n v="467.6"/>
    <n v="511"/>
    <n v="0.94"/>
    <x v="1"/>
    <n v="233.8"/>
    <n v="0.66800000000000004"/>
  </r>
  <r>
    <n v="5354"/>
    <n v="1608"/>
    <n v="632"/>
    <n v="2831"/>
    <n v="280"/>
    <n v="1.431"/>
    <n v="1.47"/>
    <n v="1.468"/>
    <n v="1.3360000000000001"/>
    <n v="728"/>
    <d v="1899-12-30T05:57:00"/>
    <d v="2026-02-03T00:00:00"/>
    <n v="0.99"/>
    <n v="1.073"/>
    <n v="1.47"/>
    <n v="3"/>
    <x v="1"/>
    <x v="5"/>
    <x v="1"/>
    <n v="500.85"/>
    <n v="514.5"/>
    <n v="513.79999999999995"/>
    <n v="467.6"/>
    <n v="514.5"/>
    <n v="0.94"/>
    <x v="1"/>
    <n v="507.32499999999999"/>
    <n v="1.4495"/>
  </r>
  <r>
    <n v="5384"/>
    <n v="1622"/>
    <n v="632"/>
    <n v="2843"/>
    <n v="280"/>
    <n v="1.5089999999999999"/>
    <n v="1.47"/>
    <n v="1.468"/>
    <n v="1.3360000000000001"/>
    <n v="732"/>
    <d v="1899-12-30T05:59:00"/>
    <d v="2026-02-04T00:00:00"/>
    <n v="0.98"/>
    <n v="1.214"/>
    <n v="1.5089999999999999"/>
    <n v="4"/>
    <x v="1"/>
    <x v="5"/>
    <x v="1"/>
    <n v="528.15"/>
    <n v="514.5"/>
    <n v="513.79999999999995"/>
    <n v="467.6"/>
    <n v="528.15"/>
    <n v="0.94"/>
    <x v="1"/>
    <n v="514.15"/>
    <n v="1.4689999999999999"/>
  </r>
  <r>
    <n v="5415"/>
    <n v="1635"/>
    <n v="643"/>
    <n v="2855"/>
    <n v="280"/>
    <n v="1.516"/>
    <n v="1.47"/>
    <n v="1.468"/>
    <n v="1.3360000000000001"/>
    <n v="736"/>
    <d v="1899-12-30T05:58:00"/>
    <d v="2026-02-05T00:00:00"/>
    <n v="0.98"/>
    <n v="1.34"/>
    <n v="1.516"/>
    <n v="5"/>
    <x v="1"/>
    <x v="5"/>
    <x v="1"/>
    <n v="530.6"/>
    <n v="514.5"/>
    <n v="513.79999999999995"/>
    <n v="467.6"/>
    <n v="530.6"/>
    <n v="0.94"/>
    <x v="1"/>
    <n v="514.15"/>
    <n v="1.4689999999999999"/>
  </r>
  <r>
    <n v="5445"/>
    <n v="1648"/>
    <n v="648"/>
    <n v="2867"/>
    <n v="280"/>
    <n v="1.516"/>
    <n v="1.47"/>
    <n v="1.468"/>
    <n v="1.3360000000000001"/>
    <n v="740"/>
    <d v="1899-12-30T05:58:00"/>
    <d v="2026-02-06T00:00:00"/>
    <n v="0.99"/>
    <n v="1.2310000000000001"/>
    <n v="1.516"/>
    <n v="6"/>
    <x v="1"/>
    <x v="5"/>
    <x v="1"/>
    <n v="530.6"/>
    <n v="514.5"/>
    <n v="513.79999999999995"/>
    <n v="467.6"/>
    <n v="530.6"/>
    <n v="0.94"/>
    <x v="1"/>
    <n v="514.15"/>
    <n v="1.4689999999999999"/>
  </r>
  <r>
    <n v="5476"/>
    <n v="1662"/>
    <n v="653"/>
    <n v="2879"/>
    <n v="280"/>
    <n v="1.516"/>
    <n v="1.47"/>
    <n v="1.468"/>
    <n v="1.3360000000000001"/>
    <n v="745"/>
    <d v="1899-12-30T05:59:00"/>
    <d v="2026-02-07T00:00:00"/>
    <n v="0.98"/>
    <n v="1.3049999999999999"/>
    <n v="1.516"/>
    <n v="7"/>
    <x v="1"/>
    <x v="5"/>
    <x v="1"/>
    <n v="530.6"/>
    <n v="514.5"/>
    <n v="513.79999999999995"/>
    <n v="467.6"/>
    <n v="530.6"/>
    <n v="0.94"/>
    <x v="1"/>
    <n v="514.15"/>
    <n v="1.4689999999999999"/>
  </r>
  <r>
    <n v="5506"/>
    <n v="1662"/>
    <n v="653"/>
    <n v="2904"/>
    <n v="285"/>
    <n v="1.516"/>
    <n v="1.47"/>
    <n v="1.468"/>
    <n v="1.4"/>
    <n v="749"/>
    <d v="1899-12-30T06:00:00"/>
    <d v="2026-02-08T00:00:00"/>
    <n v="0.98"/>
    <n v="1.3049999999999999"/>
    <n v="1.516"/>
    <n v="8"/>
    <x v="1"/>
    <x v="16"/>
    <x v="1"/>
    <n v="530.6"/>
    <n v="514.5"/>
    <n v="513.79999999999995"/>
    <n v="489.99999999999994"/>
    <n v="530.6"/>
    <n v="0.94"/>
    <x v="1"/>
    <n v="514.15"/>
    <n v="1.4689999999999999"/>
  </r>
  <r>
    <n v="5534"/>
    <n v="1662"/>
    <n v="653"/>
    <n v="2929"/>
    <n v="290"/>
    <n v="1.516"/>
    <n v="1.47"/>
    <n v="1.468"/>
    <n v="1.4019999999999999"/>
    <n v="753"/>
    <d v="1899-12-30T06:00:00"/>
    <d v="2026-02-09T00:00:00"/>
    <n v="0.97"/>
    <n v="1.212"/>
    <n v="1.516"/>
    <n v="9"/>
    <x v="1"/>
    <x v="16"/>
    <x v="1"/>
    <n v="530.6"/>
    <n v="514.5"/>
    <n v="513.79999999999995"/>
    <n v="490.7"/>
    <n v="530.6"/>
    <n v="0.94"/>
    <x v="1"/>
    <n v="514.15"/>
    <n v="1.4689999999999999"/>
  </r>
  <r>
    <n v="5567"/>
    <n v="1675"/>
    <n v="659"/>
    <n v="2941"/>
    <n v="290"/>
    <n v="1.516"/>
    <n v="1.47"/>
    <n v="1.468"/>
    <n v="1.4019999999999999"/>
    <n v="753"/>
    <d v="1899-12-30T06:04:00"/>
    <d v="2026-02-10T00:00:00"/>
    <n v="0.98"/>
    <n v="1.2749999999999999"/>
    <n v="1.516"/>
    <n v="10"/>
    <x v="1"/>
    <x v="16"/>
    <x v="1"/>
    <n v="530.6"/>
    <n v="514.5"/>
    <n v="513.79999999999995"/>
    <n v="490.7"/>
    <n v="530.6"/>
    <n v="0.94"/>
    <x v="1"/>
    <n v="514.15"/>
    <n v="1.4689999999999999"/>
  </r>
  <r>
    <n v="5597"/>
    <n v="1688"/>
    <n v="664"/>
    <n v="2952"/>
    <n v="290"/>
    <n v="1.516"/>
    <n v="1.47"/>
    <n v="1.468"/>
    <n v="1.4019999999999999"/>
    <n v="761"/>
    <d v="1899-12-30T06:00:00"/>
    <d v="2026-02-11T00:00:00"/>
    <n v="0.99"/>
    <n v="1.077"/>
    <n v="1.516"/>
    <n v="11"/>
    <x v="1"/>
    <x v="16"/>
    <x v="1"/>
    <n v="530.6"/>
    <n v="514.5"/>
    <n v="513.79999999999995"/>
    <n v="490.7"/>
    <n v="530.6"/>
    <n v="0.94"/>
    <x v="1"/>
    <n v="514.15"/>
    <n v="1.4689999999999999"/>
  </r>
  <r>
    <n v="5627"/>
    <n v="1701"/>
    <n v="669"/>
    <n v="2965"/>
    <n v="290"/>
    <n v="1.5329999999999999"/>
    <n v="1.47"/>
    <n v="1.468"/>
    <n v="1.4019999999999999"/>
    <n v="765"/>
    <d v="1899-12-30T06:00:00"/>
    <d v="2026-02-12T00:00:00"/>
    <n v="0.99"/>
    <n v="1.175"/>
    <n v="1.5329999999999999"/>
    <n v="12"/>
    <x v="1"/>
    <x v="16"/>
    <x v="1"/>
    <n v="536.54999999999995"/>
    <n v="514.5"/>
    <n v="513.79999999999995"/>
    <n v="490.7"/>
    <n v="536.54999999999995"/>
    <n v="0.94"/>
    <x v="1"/>
    <n v="514.15"/>
    <n v="1.4689999999999999"/>
  </r>
  <r>
    <n v="5657"/>
    <n v="1714"/>
    <n v="674"/>
    <n v="2977"/>
    <n v="290"/>
    <n v="1.5329999999999999"/>
    <n v="1.476"/>
    <n v="1.468"/>
    <n v="1.4019999999999999"/>
    <n v="768"/>
    <d v="1899-12-30T06:00:00"/>
    <d v="2026-02-13T00:00:00"/>
    <n v="0.99"/>
    <n v="1.21"/>
    <n v="1.5329999999999999"/>
    <n v="13"/>
    <x v="1"/>
    <x v="16"/>
    <x v="1"/>
    <n v="536.54999999999995"/>
    <n v="516.6"/>
    <n v="513.79999999999995"/>
    <n v="490.7"/>
    <n v="536.54999999999995"/>
    <n v="0.94"/>
    <x v="1"/>
    <n v="515.20000000000005"/>
    <n v="1.4720000000000002"/>
  </r>
  <r>
    <n v="5687"/>
    <n v="1727"/>
    <n v="679"/>
    <n v="2985"/>
    <n v="290"/>
    <n v="1.5329999999999999"/>
    <n v="1.476"/>
    <n v="1.5"/>
    <n v="1.4019999999999999"/>
    <n v="772"/>
    <d v="1899-12-30T05:58:00"/>
    <d v="2026-02-14T00:00:00"/>
    <n v="0.99"/>
    <n v="1.1859999999999999"/>
    <n v="1.5329999999999999"/>
    <n v="14"/>
    <x v="1"/>
    <x v="16"/>
    <x v="1"/>
    <n v="536.54999999999995"/>
    <n v="516.6"/>
    <n v="525"/>
    <n v="490.7"/>
    <n v="536.54999999999995"/>
    <n v="0.94"/>
    <x v="1"/>
    <n v="520.79999999999995"/>
    <n v="1.4879999999999998"/>
  </r>
  <r>
    <n v="5719"/>
    <n v="1727"/>
    <n v="679"/>
    <n v="3015"/>
    <n v="296"/>
    <n v="1.5329999999999999"/>
    <n v="1.476"/>
    <n v="1.5840000000000001"/>
    <n v="1.4019999999999999"/>
    <n v="776"/>
    <d v="1899-12-30T05:59:00"/>
    <d v="2026-02-15T00:00:00"/>
    <n v="0.98"/>
    <n v="1.052"/>
    <n v="1.5840000000000001"/>
    <n v="15"/>
    <x v="1"/>
    <x v="17"/>
    <x v="1"/>
    <n v="536.54999999999995"/>
    <n v="516.6"/>
    <n v="554.4"/>
    <n v="490.7"/>
    <n v="554.4"/>
    <n v="0.94"/>
    <x v="1"/>
    <n v="526.57500000000005"/>
    <n v="1.5045000000000002"/>
  </r>
  <r>
    <n v="5749"/>
    <n v="1727"/>
    <n v="679"/>
    <n v="3040"/>
    <n v="301"/>
    <n v="1.5329999999999999"/>
    <n v="1.476"/>
    <n v="1.5840000000000001"/>
    <n v="1.4019999999999999"/>
    <n v="780"/>
    <d v="1899-12-30T05:59:00"/>
    <d v="2026-02-16T00:00:00"/>
    <n v="0.98"/>
    <n v="1.161"/>
    <n v="1.5840000000000001"/>
    <n v="16"/>
    <x v="1"/>
    <x v="17"/>
    <x v="1"/>
    <n v="536.54999999999995"/>
    <n v="516.6"/>
    <n v="554.4"/>
    <n v="490.7"/>
    <n v="554.4"/>
    <n v="0.94"/>
    <x v="1"/>
    <n v="526.57500000000005"/>
    <n v="1.5045000000000002"/>
  </r>
  <r>
    <n v="5779"/>
    <n v="1740"/>
    <n v="684"/>
    <n v="3052"/>
    <n v="301"/>
    <n v="1.5329999999999999"/>
    <n v="1.476"/>
    <n v="1.5840000000000001"/>
    <n v="1.4019999999999999"/>
    <n v="784"/>
    <d v="1899-12-30T06:05:00"/>
    <d v="2026-02-17T00:00:00"/>
    <n v="0.98"/>
    <n v="1.3280000000000001"/>
    <n v="1.5840000000000001"/>
    <n v="17"/>
    <x v="1"/>
    <x v="17"/>
    <x v="1"/>
    <n v="536.54999999999995"/>
    <n v="516.6"/>
    <n v="554.4"/>
    <n v="490.7"/>
    <n v="554.4"/>
    <n v="0.94"/>
    <x v="1"/>
    <n v="526.57500000000005"/>
    <n v="1.5045000000000002"/>
  </r>
  <r>
    <n v="5809"/>
    <n v="1753"/>
    <n v="689"/>
    <n v="3064"/>
    <n v="301"/>
    <n v="1.556"/>
    <n v="1.476"/>
    <n v="1.5840000000000001"/>
    <n v="1.4019999999999999"/>
    <n v="788"/>
    <d v="1899-12-30T06:16:00"/>
    <d v="2026-02-18T00:00:00"/>
    <n v="0.98"/>
    <n v="1.177"/>
    <n v="1.5840000000000001"/>
    <n v="18"/>
    <x v="1"/>
    <x v="17"/>
    <x v="1"/>
    <n v="544.6"/>
    <n v="516.6"/>
    <n v="554.4"/>
    <n v="490.7"/>
    <n v="554.4"/>
    <n v="0.94"/>
    <x v="1"/>
    <n v="530.6"/>
    <n v="1.516"/>
  </r>
  <r>
    <n v="5839"/>
    <n v="1766"/>
    <n v="694"/>
    <n v="3076"/>
    <n v="301"/>
    <n v="1.556"/>
    <n v="1.476"/>
    <n v="1.5840000000000001"/>
    <n v="1.4019999999999999"/>
    <n v="793"/>
    <d v="1899-12-30T06:00:00"/>
    <d v="2026-02-19T00:00:00"/>
    <n v="0.98"/>
    <n v="1.3620000000000001"/>
    <n v="1.5840000000000001"/>
    <n v="19"/>
    <x v="1"/>
    <x v="17"/>
    <x v="1"/>
    <n v="544.6"/>
    <n v="516.6"/>
    <n v="554.4"/>
    <n v="490.7"/>
    <n v="554.4"/>
    <n v="0.94"/>
    <x v="1"/>
    <n v="530.6"/>
    <n v="1.516"/>
  </r>
  <r>
    <n v="5869"/>
    <n v="1780"/>
    <n v="699"/>
    <n v="3088"/>
    <n v="301"/>
    <n v="1.556"/>
    <n v="1.476"/>
    <n v="1.5840000000000001"/>
    <n v="1.4019999999999999"/>
    <n v="797"/>
    <d v="1899-12-30T05:50:00"/>
    <d v="2026-02-20T00:00:00"/>
    <n v="0.98"/>
    <n v="1.22"/>
    <n v="1.5840000000000001"/>
    <n v="20"/>
    <x v="1"/>
    <x v="17"/>
    <x v="1"/>
    <n v="544.6"/>
    <n v="516.6"/>
    <n v="554.4"/>
    <n v="490.7"/>
    <n v="554.4"/>
    <n v="0.94"/>
    <x v="1"/>
    <n v="530.6"/>
    <n v="1.516"/>
  </r>
  <r>
    <n v="5900"/>
    <n v="1793"/>
    <n v="705"/>
    <n v="3101"/>
    <n v="301"/>
    <n v="1.556"/>
    <n v="1.476"/>
    <n v="1.5840000000000001"/>
    <n v="1.4019999999999999"/>
    <n v="801"/>
    <d v="1899-12-30T06:01:00"/>
    <d v="2026-02-21T00:00:00"/>
    <n v="0.98"/>
    <n v="1.06"/>
    <n v="1.5840000000000001"/>
    <n v="21"/>
    <x v="1"/>
    <x v="17"/>
    <x v="1"/>
    <n v="544.6"/>
    <n v="516.6"/>
    <n v="554.4"/>
    <n v="490.7"/>
    <n v="554.4"/>
    <n v="0.94"/>
    <x v="1"/>
    <n v="530.6"/>
    <n v="1.516"/>
  </r>
  <r>
    <n v="5932"/>
    <n v="1793"/>
    <n v="705"/>
    <n v="3127"/>
    <n v="306"/>
    <n v="1.556"/>
    <n v="1.476"/>
    <n v="1.5840000000000001"/>
    <n v="1.4019999999999999"/>
    <n v="806"/>
    <d v="1899-12-30T06:00:00"/>
    <d v="2026-02-22T00:00:00"/>
    <n v="0.98"/>
    <n v="1.2090000000000001"/>
    <n v="1.5840000000000001"/>
    <n v="22"/>
    <x v="1"/>
    <x v="18"/>
    <x v="1"/>
    <n v="544.6"/>
    <n v="516.6"/>
    <n v="554.4"/>
    <n v="490.7"/>
    <n v="554.4"/>
    <n v="0.94"/>
    <x v="1"/>
    <n v="530.6"/>
    <n v="1.516"/>
  </r>
  <r>
    <n v="5962"/>
    <n v="1793"/>
    <n v="705"/>
    <n v="3152"/>
    <n v="311"/>
    <n v="1.556"/>
    <n v="1.476"/>
    <n v="1.5840000000000001"/>
    <n v="1.4019999999999999"/>
    <n v="810"/>
    <d v="1899-12-30T05:55:00"/>
    <d v="2026-02-23T00:00:00"/>
    <n v="0.98"/>
    <n v="1.2170000000000001"/>
    <n v="1.5840000000000001"/>
    <n v="23"/>
    <x v="1"/>
    <x v="18"/>
    <x v="1"/>
    <n v="544.6"/>
    <n v="516.6"/>
    <n v="554.4"/>
    <n v="490.7"/>
    <n v="554.4"/>
    <n v="0.94"/>
    <x v="1"/>
    <n v="530.6"/>
    <n v="1.516"/>
  </r>
  <r>
    <n v="5993"/>
    <n v="1806"/>
    <n v="710"/>
    <n v="3165"/>
    <n v="311"/>
    <n v="1.556"/>
    <n v="1.4850000000000001"/>
    <n v="1.5840000000000001"/>
    <n v="1.4019999999999999"/>
    <n v="814"/>
    <d v="1899-12-30T06:07:00"/>
    <d v="2026-02-24T00:00:00"/>
    <n v="0.99"/>
    <n v="1.244"/>
    <n v="1.5840000000000001"/>
    <n v="24"/>
    <x v="1"/>
    <x v="18"/>
    <x v="1"/>
    <n v="544.6"/>
    <n v="519.75"/>
    <n v="554.4"/>
    <n v="490.7"/>
    <n v="554.4"/>
    <n v="0.94"/>
    <x v="1"/>
    <n v="532.17499999999995"/>
    <n v="1.5205"/>
  </r>
  <r>
    <n v="6025"/>
    <n v="1819"/>
    <n v="715"/>
    <n v="3178"/>
    <n v="311"/>
    <n v="1.556"/>
    <n v="1.4850000000000001"/>
    <n v="1.5840000000000001"/>
    <n v="1.4019999999999999"/>
    <n v="818"/>
    <d v="1899-12-30T06:14:00"/>
    <d v="2026-02-25T00:00:00"/>
    <n v="0.99"/>
    <n v="1.141"/>
    <n v="1.5840000000000001"/>
    <n v="25"/>
    <x v="1"/>
    <x v="18"/>
    <x v="1"/>
    <n v="544.6"/>
    <n v="519.75"/>
    <n v="554.4"/>
    <n v="490.7"/>
    <n v="554.4"/>
    <n v="0.94"/>
    <x v="1"/>
    <n v="532.17499999999995"/>
    <n v="1.5205"/>
  </r>
  <r>
    <n v="6056"/>
    <n v="1833"/>
    <n v="721"/>
    <n v="3190"/>
    <n v="311"/>
    <n v="1.556"/>
    <n v="1.4850000000000001"/>
    <n v="1.5840000000000001"/>
    <n v="1.4019999999999999"/>
    <n v="822"/>
    <d v="1899-12-30T05:50:00"/>
    <d v="2026-02-26T00:00:00"/>
    <n v="0.99"/>
    <n v="1.2689999999999999"/>
    <n v="1.5840000000000001"/>
    <n v="26"/>
    <x v="1"/>
    <x v="18"/>
    <x v="1"/>
    <n v="544.6"/>
    <n v="519.75"/>
    <n v="554.4"/>
    <n v="490.7"/>
    <n v="554.4"/>
    <n v="0.94"/>
    <x v="1"/>
    <n v="532.17499999999995"/>
    <n v="1.5205"/>
  </r>
  <r>
    <n v="6088"/>
    <n v="1846"/>
    <n v="726"/>
    <n v="3203"/>
    <n v="311"/>
    <n v="1.6830000000000001"/>
    <n v="1.51"/>
    <n v="1.5840000000000001"/>
    <n v="1.4019999999999999"/>
    <n v="827"/>
    <d v="1899-12-30T05:58:00"/>
    <d v="2026-02-27T00:00:00"/>
    <n v="0.99"/>
    <n v="1.458"/>
    <n v="1.6830000000000001"/>
    <n v="27"/>
    <x v="1"/>
    <x v="18"/>
    <x v="1"/>
    <n v="589.05000000000007"/>
    <n v="528.5"/>
    <n v="554.4"/>
    <n v="490.7"/>
    <n v="589.05000000000007"/>
    <n v="0.94"/>
    <x v="1"/>
    <n v="541.45000000000005"/>
    <n v="1.5470000000000002"/>
  </r>
  <r>
    <n v="6119"/>
    <n v="1860"/>
    <n v="731"/>
    <n v="3216"/>
    <n v="311"/>
    <n v="1.6830000000000001"/>
    <n v="1.51"/>
    <n v="1.5840000000000001"/>
    <n v="1.4019999999999999"/>
    <n v="832"/>
    <d v="1899-12-30T06:00:00"/>
    <d v="2026-02-28T00:00:00"/>
    <n v="0.97"/>
    <n v="1.304"/>
    <n v="1.6830000000000001"/>
    <n v="28"/>
    <x v="1"/>
    <x v="18"/>
    <x v="1"/>
    <n v="589.05000000000007"/>
    <n v="528.5"/>
    <n v="554.4"/>
    <n v="490.7"/>
    <n v="589.05000000000007"/>
    <n v="0.94"/>
    <x v="1"/>
    <n v="541.45000000000005"/>
    <n v="1.5470000000000002"/>
  </r>
  <r>
    <n v="6151"/>
    <n v="1860"/>
    <n v="731"/>
    <n v="3242"/>
    <n v="316"/>
    <n v="0"/>
    <n v="0"/>
    <n v="1.4390000000000001"/>
    <n v="0"/>
    <n v="836"/>
    <d v="1899-12-30T06:01:00"/>
    <d v="2026-03-01T00:00:00"/>
    <n v="0.99"/>
    <n v="1.464"/>
    <n v="1.4390000000000001"/>
    <n v="1"/>
    <x v="2"/>
    <x v="6"/>
    <x v="2"/>
    <n v="0"/>
    <n v="0"/>
    <n v="503.65000000000003"/>
    <n v="0"/>
    <n v="503.65000000000003"/>
    <n v="0.94"/>
    <x v="1"/>
    <n v="0"/>
    <n v="0"/>
  </r>
  <r>
    <n v="6183"/>
    <n v="1860"/>
    <n v="731"/>
    <n v="3268"/>
    <n v="322"/>
    <n v="0"/>
    <n v="0"/>
    <n v="1.4390000000000001"/>
    <n v="1.4430000000000001"/>
    <n v="841"/>
    <d v="1899-12-30T05:58:00"/>
    <d v="2026-03-02T00:00:00"/>
    <n v="0.98"/>
    <n v="1.256"/>
    <n v="1.4430000000000001"/>
    <n v="2"/>
    <x v="2"/>
    <x v="6"/>
    <x v="2"/>
    <n v="0"/>
    <n v="0"/>
    <n v="503.65000000000003"/>
    <n v="505.05"/>
    <n v="505.05"/>
    <n v="0.94"/>
    <x v="1"/>
    <n v="251.82500000000002"/>
    <n v="0.71950000000000003"/>
  </r>
  <r>
    <n v="6216"/>
    <n v="1879"/>
    <n v="737"/>
    <n v="3282"/>
    <n v="322"/>
    <n v="1.5409999999999999"/>
    <n v="1.486"/>
    <n v="1.474"/>
    <n v="1.4430000000000001"/>
    <n v="845"/>
    <d v="1899-12-30T06:15:00"/>
    <d v="2026-03-03T00:00:00"/>
    <n v="0.98"/>
    <n v="1.31"/>
    <n v="1.5409999999999999"/>
    <n v="3"/>
    <x v="2"/>
    <x v="6"/>
    <x v="2"/>
    <n v="539.35"/>
    <n v="520.1"/>
    <n v="515.9"/>
    <n v="505.05"/>
    <n v="539.35"/>
    <n v="0.94"/>
    <x v="1"/>
    <n v="518"/>
    <n v="1.48"/>
  </r>
  <r>
    <n v="6248"/>
    <n v="1887"/>
    <n v="742"/>
    <n v="3295"/>
    <n v="322"/>
    <n v="1.5409999999999999"/>
    <n v="1.486"/>
    <n v="1.474"/>
    <n v="1.4430000000000001"/>
    <n v="850"/>
    <d v="1899-12-30T06:04:00"/>
    <d v="2026-03-04T00:00:00"/>
    <n v="0.98"/>
    <n v="1.266"/>
    <n v="1.5409999999999999"/>
    <n v="4"/>
    <x v="2"/>
    <x v="6"/>
    <x v="2"/>
    <n v="539.35"/>
    <n v="520.1"/>
    <n v="515.9"/>
    <n v="505.05"/>
    <n v="539.35"/>
    <n v="0.94"/>
    <x v="1"/>
    <n v="518"/>
    <n v="1.48"/>
  </r>
  <r>
    <n v="6278"/>
    <n v="1900"/>
    <n v="747"/>
    <n v="3307"/>
    <n v="322"/>
    <n v="1.5409999999999999"/>
    <n v="1.486"/>
    <n v="1.474"/>
    <n v="1.4430000000000001"/>
    <n v="854"/>
    <d v="1899-12-30T05:56:00"/>
    <d v="2026-03-05T00:00:00"/>
    <n v="0.98"/>
    <n v="1.3009999999999999"/>
    <n v="1.5409999999999999"/>
    <n v="5"/>
    <x v="2"/>
    <x v="6"/>
    <x v="2"/>
    <n v="539.35"/>
    <n v="520.1"/>
    <n v="515.9"/>
    <n v="505.05"/>
    <n v="539.35"/>
    <n v="0.94"/>
    <x v="1"/>
    <n v="518"/>
    <n v="1.48"/>
  </r>
  <r>
    <n v="6310"/>
    <n v="1914"/>
    <n v="753"/>
    <n v="3320"/>
    <n v="322"/>
    <n v="1.5409999999999999"/>
    <n v="1.486"/>
    <n v="1.474"/>
    <n v="1.4430000000000001"/>
    <n v="858"/>
    <d v="1899-12-30T05:55:00"/>
    <d v="2026-03-06T00:00:00"/>
    <n v="0.98"/>
    <n v="1.3129999999999999"/>
    <n v="1.5409999999999999"/>
    <n v="6"/>
    <x v="2"/>
    <x v="6"/>
    <x v="2"/>
    <n v="539.35"/>
    <n v="520.1"/>
    <n v="515.9"/>
    <n v="505.05"/>
    <n v="539.35"/>
    <n v="0.94"/>
    <x v="1"/>
    <n v="518"/>
    <n v="1.48"/>
  </r>
  <r>
    <n v="6343"/>
    <n v="1928"/>
    <n v="759"/>
    <n v="3334"/>
    <n v="322"/>
    <n v="1.5409999999999999"/>
    <n v="1.486"/>
    <n v="1.474"/>
    <n v="1.4430000000000001"/>
    <n v="863"/>
    <d v="1899-12-30T06:00:00"/>
    <d v="2026-03-07T00:00:00"/>
    <n v="0.99"/>
    <n v="1.3280000000000001"/>
    <n v="1.5409999999999999"/>
    <n v="7"/>
    <x v="2"/>
    <x v="6"/>
    <x v="2"/>
    <n v="539.35"/>
    <n v="520.1"/>
    <n v="515.9"/>
    <n v="505.05"/>
    <n v="539.35"/>
    <n v="0.94"/>
    <x v="1"/>
    <n v="518"/>
    <n v="1.48"/>
  </r>
  <r>
    <n v="6375"/>
    <n v="1928"/>
    <n v="759"/>
    <n v="3360"/>
    <n v="327"/>
    <n v="1.5409999999999999"/>
    <n v="1.486"/>
    <n v="1.474"/>
    <n v="1.4430000000000001"/>
    <n v="868"/>
    <d v="1899-12-30T06:00:00"/>
    <d v="2026-03-08T00:00:00"/>
    <n v="0.98"/>
    <n v="1.278"/>
    <n v="1.5409999999999999"/>
    <n v="8"/>
    <x v="2"/>
    <x v="20"/>
    <x v="2"/>
    <n v="539.35"/>
    <n v="520.1"/>
    <n v="515.9"/>
    <n v="505.05"/>
    <n v="539.35"/>
    <n v="0.94"/>
    <x v="1"/>
    <n v="518"/>
    <n v="1.48"/>
  </r>
  <r>
    <n v="6408"/>
    <n v="1928"/>
    <n v="759"/>
    <n v="3387"/>
    <n v="332"/>
    <n v="1.5409999999999999"/>
    <n v="1.486"/>
    <n v="1.474"/>
    <n v="1.46"/>
    <n v="873"/>
    <d v="1899-12-30T05:59:00"/>
    <d v="2026-03-09T00:00:00"/>
    <n v="0.98"/>
    <n v="1.3680000000000001"/>
    <n v="1.5409999999999999"/>
    <n v="9"/>
    <x v="2"/>
    <x v="20"/>
    <x v="2"/>
    <n v="539.35"/>
    <n v="520.1"/>
    <n v="515.9"/>
    <n v="511"/>
    <n v="539.35"/>
    <n v="0.94"/>
    <x v="1"/>
    <n v="518"/>
    <n v="1.48"/>
  </r>
  <r>
    <n v="6440"/>
    <n v="1942"/>
    <n v="764"/>
    <n v="3400"/>
    <n v="332"/>
    <n v="1.5409999999999999"/>
    <n v="1.486"/>
    <n v="1.474"/>
    <n v="1.46"/>
    <n v="877"/>
    <d v="1899-12-30T06:01:00"/>
    <d v="2026-03-10T00:00:00"/>
    <n v="0.99"/>
    <n v="1.407"/>
    <n v="1.5409999999999999"/>
    <n v="10"/>
    <x v="2"/>
    <x v="20"/>
    <x v="2"/>
    <n v="539.35"/>
    <n v="520.1"/>
    <n v="515.9"/>
    <n v="511"/>
    <n v="539.35"/>
    <n v="0.94"/>
    <x v="1"/>
    <n v="518"/>
    <n v="1.48"/>
  </r>
  <r>
    <n v="6474"/>
    <n v="1955"/>
    <n v="770"/>
    <n v="3415"/>
    <n v="332"/>
    <n v="1.5409999999999999"/>
    <n v="1.486"/>
    <n v="1.474"/>
    <n v="1.46"/>
    <n v="882"/>
    <d v="1899-12-30T06:32:00"/>
    <d v="2026-03-11T00:00:00"/>
    <n v="0.98"/>
    <n v="1.226"/>
    <n v="1.5409999999999999"/>
    <n v="11"/>
    <x v="2"/>
    <x v="20"/>
    <x v="2"/>
    <n v="539.35"/>
    <n v="520.1"/>
    <n v="515.9"/>
    <n v="511"/>
    <n v="539.35"/>
    <n v="0.94"/>
    <x v="1"/>
    <n v="518"/>
    <n v="1.48"/>
  </r>
  <r>
    <n v="6507"/>
    <n v="1970"/>
    <n v="776"/>
    <n v="3427"/>
    <n v="332"/>
    <n v="1.5409999999999999"/>
    <n v="1.504"/>
    <n v="1.474"/>
    <n v="1.46"/>
    <n v="888"/>
    <d v="1899-12-30T05:52:00"/>
    <d v="2026-03-12T00:00:00"/>
    <n v="0.98"/>
    <n v="1.3460000000000001"/>
    <n v="1.5409999999999999"/>
    <n v="12"/>
    <x v="2"/>
    <x v="20"/>
    <x v="2"/>
    <n v="539.35"/>
    <n v="526.4"/>
    <n v="515.9"/>
    <n v="511"/>
    <n v="539.35"/>
    <n v="0.94"/>
    <x v="1"/>
    <n v="521.15"/>
    <n v="1.4889999999999999"/>
  </r>
  <r>
    <n v="6540"/>
    <n v="1983"/>
    <n v="781"/>
    <n v="3441"/>
    <n v="332"/>
    <n v="1.5409999999999999"/>
    <n v="1.508"/>
    <n v="1.474"/>
    <n v="1.46"/>
    <n v="893"/>
    <d v="1899-12-30T06:01:00"/>
    <d v="2026-03-13T00:00:00"/>
    <n v="0.98"/>
    <n v="1.4259999999999999"/>
    <n v="1.5409999999999999"/>
    <n v="13"/>
    <x v="2"/>
    <x v="20"/>
    <x v="2"/>
    <n v="539.35"/>
    <n v="527.79999999999995"/>
    <n v="515.9"/>
    <n v="511"/>
    <n v="539.35"/>
    <n v="0.94"/>
    <x v="1"/>
    <n v="521.84999999999991"/>
    <n v="1.4909999999999997"/>
  </r>
  <r>
    <n v="6573"/>
    <n v="1997"/>
    <n v="787"/>
    <n v="3455"/>
    <n v="332"/>
    <n v="1.5409999999999999"/>
    <n v="1.5149999999999999"/>
    <n v="1.474"/>
    <n v="1.46"/>
    <n v="897"/>
    <d v="1899-12-30T06:05:00"/>
    <d v="2026-03-14T00:00:00"/>
    <n v="0.99"/>
    <n v="1.3180000000000001"/>
    <n v="1.5409999999999999"/>
    <n v="14"/>
    <x v="2"/>
    <x v="20"/>
    <x v="2"/>
    <n v="539.35"/>
    <n v="530.25"/>
    <n v="515.9"/>
    <n v="511"/>
    <n v="539.35"/>
    <n v="0.94"/>
    <x v="1"/>
    <n v="523.07500000000005"/>
    <n v="1.4945000000000002"/>
  </r>
  <r>
    <n v="6606"/>
    <n v="1997"/>
    <n v="787"/>
    <n v="3482"/>
    <n v="337"/>
    <n v="1.5409999999999999"/>
    <n v="1.5149999999999999"/>
    <n v="1.5089999999999999"/>
    <n v="1.5369999999999999"/>
    <n v="903"/>
    <d v="1899-12-30T05:58:00"/>
    <d v="2026-03-15T00:00:00"/>
    <n v="0.97"/>
    <n v="1.319"/>
    <n v="1.5409999999999999"/>
    <n v="15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638"/>
    <n v="1997"/>
    <n v="787"/>
    <n v="3509"/>
    <n v="343"/>
    <n v="1.5409999999999999"/>
    <n v="1.5149999999999999"/>
    <n v="1.5089999999999999"/>
    <n v="1.5369999999999999"/>
    <n v="908"/>
    <d v="1899-12-30T05:59:00"/>
    <d v="2026-03-16T00:00:00"/>
    <n v="0.98"/>
    <n v="1.3029999999999999"/>
    <n v="1.5409999999999999"/>
    <n v="16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671"/>
    <n v="2012"/>
    <n v="793"/>
    <n v="3523"/>
    <n v="343"/>
    <n v="1.5409999999999999"/>
    <n v="1.5149999999999999"/>
    <n v="1.5089999999999999"/>
    <n v="1.5369999999999999"/>
    <n v="914"/>
    <d v="1899-12-30T06:09:00"/>
    <d v="2026-03-17T00:00:00"/>
    <n v="0.99"/>
    <n v="1.335"/>
    <n v="1.5409999999999999"/>
    <n v="17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704"/>
    <n v="2026"/>
    <n v="798"/>
    <n v="3526"/>
    <n v="343"/>
    <n v="1.5409999999999999"/>
    <n v="1.5149999999999999"/>
    <n v="1.5089999999999999"/>
    <n v="1.5369999999999999"/>
    <n v="918"/>
    <d v="1899-12-30T06:05:00"/>
    <d v="2026-03-18T00:00:00"/>
    <n v="0.98"/>
    <n v="1.335"/>
    <n v="1.5409999999999999"/>
    <n v="18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737"/>
    <n v="2040"/>
    <n v="804"/>
    <n v="3549"/>
    <n v="343"/>
    <n v="1.5409999999999999"/>
    <n v="1.5149999999999999"/>
    <n v="1.5089999999999999"/>
    <n v="1.5369999999999999"/>
    <n v="923"/>
    <d v="1899-12-30T05:52:00"/>
    <d v="2026-03-19T00:00:00"/>
    <n v="0.98"/>
    <n v="1.335"/>
    <n v="1.5409999999999999"/>
    <n v="19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770"/>
    <n v="2054"/>
    <n v="809"/>
    <n v="3562"/>
    <n v="343"/>
    <n v="1.5409999999999999"/>
    <n v="1.5149999999999999"/>
    <n v="1.5089999999999999"/>
    <n v="1.5369999999999999"/>
    <n v="928"/>
    <d v="1899-12-30T05:40:00"/>
    <d v="2026-03-20T00:00:00"/>
    <n v="0.99"/>
    <n v="1.3260000000000001"/>
    <n v="1.5409999999999999"/>
    <n v="20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803"/>
    <n v="2067"/>
    <n v="815"/>
    <n v="3576"/>
    <n v="343"/>
    <n v="1.5409999999999999"/>
    <n v="1.5149999999999999"/>
    <n v="1.5089999999999999"/>
    <n v="1.5369999999999999"/>
    <n v="933"/>
    <d v="1899-12-30T05:56:00"/>
    <d v="2026-03-21T00:00:00"/>
    <n v="0.99"/>
    <n v="1.278"/>
    <n v="1.5409999999999999"/>
    <n v="21"/>
    <x v="2"/>
    <x v="21"/>
    <x v="2"/>
    <n v="539.35"/>
    <n v="530.25"/>
    <n v="528.15"/>
    <n v="537.94999999999993"/>
    <n v="539.35"/>
    <n v="0.94"/>
    <x v="1"/>
    <n v="534.09999999999991"/>
    <n v="1.5259999999999998"/>
  </r>
  <r>
    <n v="6836"/>
    <n v="2067"/>
    <n v="815"/>
    <n v="3603"/>
    <n v="348"/>
    <n v="1.5409999999999999"/>
    <n v="1.5149999999999999"/>
    <n v="1.5089999999999999"/>
    <n v="1.5369999999999999"/>
    <n v="938"/>
    <d v="1899-12-30T05:58:00"/>
    <d v="2026-03-22T00:00:00"/>
    <n v="0.98"/>
    <n v="1.33"/>
    <n v="1.5409999999999999"/>
    <n v="22"/>
    <x v="2"/>
    <x v="22"/>
    <x v="2"/>
    <n v="539.35"/>
    <n v="530.25"/>
    <n v="528.15"/>
    <n v="537.94999999999993"/>
    <n v="539.35"/>
    <n v="0.94"/>
    <x v="1"/>
    <n v="534.09999999999991"/>
    <n v="1.5259999999999998"/>
  </r>
  <r>
    <n v="6868"/>
    <n v="2067"/>
    <n v="815"/>
    <n v="3631"/>
    <n v="354"/>
    <n v="1.5409999999999999"/>
    <n v="1.5149999999999999"/>
    <n v="1.5089999999999999"/>
    <n v="1.5369999999999999"/>
    <n v="944"/>
    <d v="1899-12-30T05:57:00"/>
    <d v="2026-03-23T00:00:00"/>
    <n v="0.98"/>
    <n v="1.3740000000000001"/>
    <n v="1.5409999999999999"/>
    <n v="23"/>
    <x v="2"/>
    <x v="22"/>
    <x v="2"/>
    <n v="539.35"/>
    <n v="530.25"/>
    <n v="528.15"/>
    <n v="537.94999999999993"/>
    <n v="539.35"/>
    <n v="0.94"/>
    <x v="1"/>
    <n v="534.09999999999991"/>
    <n v="1.5259999999999998"/>
  </r>
  <r>
    <n v="6893"/>
    <n v="2082"/>
    <n v="815"/>
    <n v="3643"/>
    <n v="354"/>
    <n v="1.5409999999999999"/>
    <n v="1.5149999999999999"/>
    <n v="1.5089999999999999"/>
    <n v="1.5369999999999999"/>
    <n v="949"/>
    <d v="1899-12-30T06:02:00"/>
    <d v="2026-03-24T00:00:00"/>
    <n v="0.98"/>
    <n v="1.3740000000000001"/>
    <n v="1.5409999999999999"/>
    <n v="24"/>
    <x v="2"/>
    <x v="22"/>
    <x v="2"/>
    <n v="539.35"/>
    <n v="530.25"/>
    <n v="528.15"/>
    <n v="537.94999999999993"/>
    <n v="539.35"/>
    <n v="0.94"/>
    <x v="1"/>
    <n v="534.09999999999991"/>
    <n v="1.525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E8B10-0981-4786-8B20-BFDDF22F183E}" name="TablaDinámica9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A6:G11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50">
        <item h="1" x="0"/>
        <item h="1" x="1"/>
        <item h="1" x="2"/>
        <item h="1" x="3"/>
        <item h="1" x="4"/>
        <item h="1" x="5"/>
        <item h="1" x="16"/>
        <item h="1" x="17"/>
        <item h="1" x="18"/>
        <item h="1" x="6"/>
        <item h="1" x="20"/>
        <item h="1" x="21"/>
        <item x="22"/>
        <item h="1" x="7"/>
        <item h="1" x="24"/>
        <item h="1" x="25"/>
        <item h="1" x="8"/>
        <item h="1" x="23"/>
        <item h="1" x="26"/>
        <item h="1" x="27"/>
        <item h="1" x="28"/>
        <item h="1" x="9"/>
        <item h="1" x="10"/>
        <item h="1" x="29"/>
        <item h="1" x="30"/>
        <item h="1" x="31"/>
        <item h="1" x="11"/>
        <item h="1" x="19"/>
        <item h="1" x="32"/>
        <item h="1" x="33"/>
        <item h="1" x="34"/>
        <item h="1" x="12"/>
        <item h="1" x="35"/>
        <item h="1" x="36"/>
        <item h="1" x="37"/>
        <item h="1" x="13"/>
        <item h="1" x="38"/>
        <item h="1" x="39"/>
        <item h="1" x="40"/>
        <item h="1" x="41"/>
        <item h="1" x="14"/>
        <item h="1" x="42"/>
        <item h="1" x="44"/>
        <item h="1" x="45"/>
        <item h="1" x="15"/>
        <item h="1" x="43"/>
        <item h="1" x="46"/>
        <item h="1" x="47"/>
        <item h="1" x="48"/>
        <item t="default"/>
      </items>
    </pivotField>
    <pivotField axis="axisRow" showAll="0">
      <items count="13">
        <item x="0"/>
        <item x="1"/>
        <item sd="0"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axis="axisRow" showAll="0">
      <items count="3">
        <item x="0"/>
        <item x="1"/>
        <item t="default"/>
      </items>
    </pivotField>
    <pivotField dataField="1" numFmtId="2" showAll="0"/>
    <pivotField numFmtId="2" showAll="0"/>
  </pivotFields>
  <rowFields count="3">
    <field x="25"/>
    <field x="18"/>
    <field x="17"/>
  </rowFields>
  <rowItems count="5">
    <i>
      <x/>
    </i>
    <i r="1">
      <x v="2"/>
    </i>
    <i>
      <x v="1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08H00 A 18H00" fld="19" subtotal="max" baseField="17" baseItem="10" numFmtId="2"/>
    <dataField name="18H00 A 22H00" fld="20" subtotal="max" baseField="17" baseItem="10" numFmtId="2"/>
    <dataField name="22H00 A 08H00" fld="21" subtotal="max" baseField="17" baseItem="10" numFmtId="2"/>
    <dataField name="S,D,F 18H00 A 22H00" fld="22" subtotal="max" baseField="17" baseItem="10" numFmtId="2"/>
    <dataField name="Promedio de kreal fact max" fld="23" subtotal="average" baseField="17" baseItem="0" numFmtId="2"/>
    <dataField name="Promedio de LineaBase-FD" fld="26" subtotal="average" baseField="17" baseItem="0" numFmtId="2"/>
  </dataFields>
  <formats count="44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16" type="button" dataOnly="0" labelOnly="1" outline="0"/>
    </format>
    <format dxfId="181">
      <pivotArea dataOnly="0" labelOnly="1" grandRow="1" outline="0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16" type="button" dataOnly="0" labelOnly="1" outline="0"/>
    </format>
    <format dxfId="177">
      <pivotArea dataOnly="0" labelOnly="1" grandRow="1" outline="0" fieldPosition="0"/>
    </format>
    <format dxfId="176">
      <pivotArea field="18" type="button" dataOnly="0" labelOnly="1" outline="0" axis="axisRow" fieldPosition="1"/>
    </format>
    <format dxfId="175">
      <pivotArea field="18" type="button" dataOnly="0" labelOnly="1" outline="0" axis="axisRow" fieldPosition="1"/>
    </format>
    <format dxfId="174">
      <pivotArea grandRow="1" outline="0" collapsedLevelsAreSubtotals="1" fieldPosition="0"/>
    </format>
    <format dxfId="173">
      <pivotArea dataOnly="0" labelOnly="1" grandRow="1" outline="0" fieldPosition="0"/>
    </format>
    <format dxfId="172">
      <pivotArea grandRow="1" outline="0" collapsedLevelsAreSubtotals="1" fieldPosition="0"/>
    </format>
    <format dxfId="171">
      <pivotArea dataOnly="0" labelOnly="1" grandRow="1" outline="0" fieldPosition="0"/>
    </format>
    <format dxfId="170">
      <pivotArea field="18" type="button" dataOnly="0" labelOnly="1" outline="0" axis="axisRow" fieldPosition="1"/>
    </format>
    <format dxfId="169">
      <pivotArea field="18" type="button" dataOnly="0" labelOnly="1" outline="0" axis="axisRow" fieldPosition="1"/>
    </format>
    <format dxfId="1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7">
      <pivotArea field="18" type="button" dataOnly="0" labelOnly="1" outline="0" axis="axisRow" fieldPosition="1"/>
    </format>
    <format dxfId="1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8" type="button" dataOnly="0" labelOnly="1" outline="0" axis="axisRow" fieldPosition="1"/>
    </format>
    <format dxfId="161">
      <pivotArea dataOnly="0" labelOnly="1" fieldPosition="0">
        <references count="1">
          <reference field="18" count="0"/>
        </references>
      </pivotArea>
    </format>
    <format dxfId="160">
      <pivotArea dataOnly="0" labelOnly="1" grandRow="1" outline="0" fieldPosition="0"/>
    </format>
    <format dxfId="1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8">
      <pivotArea type="all" dataOnly="0" outline="0" fieldPosition="0"/>
    </format>
    <format dxfId="157">
      <pivotArea dataOnly="0" labelOnly="1" fieldPosition="0">
        <references count="1">
          <reference field="18" count="0"/>
        </references>
      </pivotArea>
    </format>
    <format dxfId="1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dataOnly="0" labelOnly="1" fieldPosition="0">
        <references count="1">
          <reference field="18" count="2">
            <x v="0"/>
            <x v="1"/>
          </reference>
        </references>
      </pivotArea>
    </format>
    <format dxfId="151">
      <pivotArea field="18" type="button" dataOnly="0" labelOnly="1" outline="0" axis="axisRow" fieldPosition="1"/>
    </format>
    <format dxfId="1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9">
      <pivotArea grandRow="1" outline="0" collapsedLevelsAreSubtotals="1" fieldPosition="0"/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5">
      <pivotArea collapsedLevelsAreSubtotals="1" fieldPosition="0">
        <references count="1">
          <reference field="18" count="1">
            <x v="0"/>
          </reference>
        </references>
      </pivotArea>
    </format>
    <format dxfId="144">
      <pivotArea collapsedLevelsAreSubtotals="1" fieldPosition="0">
        <references count="2">
          <reference field="17" count="5">
            <x v="0"/>
            <x v="1"/>
            <x v="2"/>
            <x v="3"/>
            <x v="4"/>
          </reference>
          <reference field="18" count="1" selected="0">
            <x v="0"/>
          </reference>
        </references>
      </pivotArea>
    </format>
    <format dxfId="143">
      <pivotArea collapsedLevelsAreSubtotals="1" fieldPosition="0">
        <references count="1">
          <reference field="18" count="1">
            <x v="1"/>
          </reference>
        </references>
      </pivotArea>
    </format>
    <format dxfId="142">
      <pivotArea collapsedLevelsAreSubtotals="1" fieldPosition="0">
        <references count="2">
          <reference field="17" count="4">
            <x v="5"/>
            <x v="6"/>
            <x v="7"/>
            <x v="8"/>
          </reference>
          <reference field="18" count="1" selected="0">
            <x v="1"/>
          </reference>
        </references>
      </pivotArea>
    </format>
    <format dxfId="141">
      <pivotArea collapsedLevelsAreSubtotals="1" fieldPosition="0">
        <references count="1">
          <reference field="18" count="1">
            <x v="2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1">
            <reference field="18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">
      <pivotAreas count="2">
        <pivotArea type="data" collapsedLevelsAreSubtotals="1" fieldPosition="0">
          <references count="1">
            <reference field="18" count="1">
              <x v="1"/>
            </reference>
          </references>
        </pivotArea>
        <pivotArea type="data" collapsedLevelsAreSubtotals="1" fieldPosition="0">
          <references count="2">
            <reference field="17" count="4">
              <x v="5"/>
              <x v="6"/>
              <x v="7"/>
              <x v="8"/>
            </reference>
            <reference field="18" count="1" selected="0">
              <x v="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1">
            <reference field="18" count="1">
              <x v="0"/>
            </reference>
          </references>
        </pivotArea>
      </pivotAreas>
    </conditionalFormat>
  </conditionalFormats>
  <chartFormats count="18">
    <chartFormat chart="5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0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0" format="1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0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10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0" format="10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0" format="10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1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1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1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1" format="1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1" format="11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AC20E-59E6-4A2E-A39E-F81EEB59896E}" name="TablaDinámica9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 rowHeaderCaption="Semana">
  <location ref="A5:G10" firstHeaderRow="0" firstDataRow="1" firstDataCol="1"/>
  <pivotFields count="28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multipleItemSelectionAllowed="1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50">
        <item h="1" x="0"/>
        <item h="1" x="1"/>
        <item h="1" x="2"/>
        <item h="1" x="3"/>
        <item h="1" x="4"/>
        <item h="1" x="5"/>
        <item h="1" x="16"/>
        <item h="1" x="17"/>
        <item h="1" x="18"/>
        <item h="1" x="6"/>
        <item h="1" x="20"/>
        <item h="1" x="21"/>
        <item x="22"/>
        <item h="1" x="7"/>
        <item h="1" x="24"/>
        <item h="1" x="25"/>
        <item h="1" x="8"/>
        <item h="1" x="23"/>
        <item h="1" x="26"/>
        <item h="1" x="27"/>
        <item h="1" x="28"/>
        <item h="1" x="9"/>
        <item h="1" x="10"/>
        <item h="1" x="29"/>
        <item h="1" x="30"/>
        <item h="1" x="31"/>
        <item h="1" x="11"/>
        <item h="1" x="19"/>
        <item h="1" x="32"/>
        <item h="1" x="33"/>
        <item h="1" x="34"/>
        <item h="1" x="12"/>
        <item h="1" x="35"/>
        <item h="1" x="36"/>
        <item h="1" x="37"/>
        <item h="1" x="13"/>
        <item h="1" x="38"/>
        <item h="1" x="39"/>
        <item h="1" x="40"/>
        <item h="1" x="41"/>
        <item h="1" x="14"/>
        <item h="1" x="42"/>
        <item h="1" x="44"/>
        <item h="1" x="45"/>
        <item h="1" x="15"/>
        <item h="1" x="43"/>
        <item h="1" x="46"/>
        <item h="1" x="47"/>
        <item h="1" x="48"/>
        <item t="default"/>
      </items>
    </pivotField>
    <pivotField axis="axisRow" showAll="0">
      <items count="13">
        <item x="0"/>
        <item x="1"/>
        <item sd="0"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3">
        <item x="0"/>
        <item x="1"/>
        <item t="default"/>
      </items>
    </pivotField>
    <pivotField numFmtId="2" showAll="0"/>
    <pivotField dataField="1" numFmtId="2" showAll="0"/>
  </pivotFields>
  <rowFields count="3">
    <field x="25"/>
    <field x="18"/>
    <field x="17"/>
  </rowFields>
  <rowItems count="5">
    <i>
      <x/>
    </i>
    <i r="1">
      <x v="2"/>
    </i>
    <i>
      <x v="1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08H00 A 18H00" fld="5" subtotal="max" baseField="17" baseItem="0"/>
    <dataField name="18H00 A 22H00" fld="6" subtotal="max" baseField="17" baseItem="0"/>
    <dataField name="22H00 A 08H00" fld="7" subtotal="max" baseField="17" baseItem="0"/>
    <dataField name="S,D,F 18H00 A 22H00" fld="8" subtotal="max" baseField="21" baseItem="2"/>
    <dataField name="Promedio de Max Factor Medido" fld="14" subtotal="average" baseField="17" baseItem="0" numFmtId="2"/>
    <dataField name="Promedio de FactorDemanda-Base" fld="27" subtotal="average" baseField="17" baseItem="0" numFmtId="2"/>
  </dataFields>
  <formats count="76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6" type="button" dataOnly="0" labelOnly="1" outline="0"/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6" type="button" dataOnly="0" labelOnly="1" outline="0"/>
    </format>
    <format dxfId="132">
      <pivotArea dataOnly="0" labelOnly="1" grandRow="1" outline="0" fieldPosition="0"/>
    </format>
    <format dxfId="1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0">
      <pivotArea field="18" type="button" dataOnly="0" labelOnly="1" outline="0" axis="axisRow" fieldPosition="1"/>
    </format>
    <format dxfId="1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8">
      <pivotArea field="18" type="button" dataOnly="0" labelOnly="1" outline="0" axis="axisRow" fieldPosition="1"/>
    </format>
    <format dxfId="1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6">
      <pivotArea grandRow="1" outline="0" collapsedLevelsAreSubtotals="1" fieldPosition="0"/>
    </format>
    <format dxfId="125">
      <pivotArea dataOnly="0" labelOnly="1" grandRow="1" outline="0" fieldPosition="0"/>
    </format>
    <format dxfId="124">
      <pivotArea dataOnly="0" labelOnly="1" grandRow="1" outline="0" fieldPosition="0"/>
    </format>
    <format dxfId="123">
      <pivotArea field="18" type="button" dataOnly="0" labelOnly="1" outline="0" axis="axisRow" fieldPosition="1"/>
    </format>
    <format dxfId="1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fieldPosition="0">
        <references count="1">
          <reference field="18" count="0"/>
        </references>
      </pivotArea>
    </format>
    <format dxfId="118">
      <pivotArea field="18" type="button" dataOnly="0" labelOnly="1" outline="0" axis="axisRow" fieldPosition="1"/>
    </format>
    <format dxfId="1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6">
      <pivotArea grandRow="1" outline="0" collapsedLevelsAreSubtotals="1" fieldPosition="0"/>
    </format>
    <format dxfId="115">
      <pivotArea dataOnly="0" labelOnly="1" grandRow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8" type="button" dataOnly="0" labelOnly="1" outline="0" axis="axisRow" fieldPosition="1"/>
    </format>
    <format dxfId="111">
      <pivotArea dataOnly="0" labelOnly="1" fieldPosition="0">
        <references count="1">
          <reference field="18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3">
      <pivotArea collapsedLevelsAreSubtotals="1" fieldPosition="0">
        <references count="1">
          <reference field="18" count="1">
            <x v="0"/>
          </reference>
        </references>
      </pivotArea>
    </format>
    <format dxfId="102">
      <pivotArea collapsedLevelsAreSubtotals="1" fieldPosition="0">
        <references count="2">
          <reference field="17" count="5">
            <x v="0"/>
            <x v="1"/>
            <x v="2"/>
            <x v="3"/>
            <x v="4"/>
          </reference>
          <reference field="18" count="1" selected="0">
            <x v="0"/>
          </reference>
        </references>
      </pivotArea>
    </format>
    <format dxfId="101">
      <pivotArea collapsedLevelsAreSubtotals="1" fieldPosition="0">
        <references count="1">
          <reference field="18" count="1">
            <x v="1"/>
          </reference>
        </references>
      </pivotArea>
    </format>
    <format dxfId="100">
      <pivotArea collapsedLevelsAreSubtotals="1" fieldPosition="0">
        <references count="2">
          <reference field="17" count="4">
            <x v="5"/>
            <x v="6"/>
            <x v="7"/>
            <x v="8"/>
          </reference>
          <reference field="18" count="1" selected="0">
            <x v="1"/>
          </reference>
        </references>
      </pivotArea>
    </format>
    <format dxfId="99">
      <pivotArea collapsedLevelsAreSubtotals="1" fieldPosition="0">
        <references count="1">
          <reference field="18" count="1">
            <x v="0"/>
          </reference>
        </references>
      </pivotArea>
    </format>
    <format dxfId="98">
      <pivotArea collapsedLevelsAreSubtotals="1" fieldPosition="0">
        <references count="2">
          <reference field="17" count="5">
            <x v="0"/>
            <x v="1"/>
            <x v="2"/>
            <x v="3"/>
            <x v="4"/>
          </reference>
          <reference field="18" count="1" selected="0">
            <x v="0"/>
          </reference>
        </references>
      </pivotArea>
    </format>
    <format dxfId="97">
      <pivotArea collapsedLevelsAreSubtotals="1" fieldPosition="0">
        <references count="1">
          <reference field="18" count="1">
            <x v="1"/>
          </reference>
        </references>
      </pivotArea>
    </format>
    <format dxfId="96">
      <pivotArea collapsedLevelsAreSubtotals="1" fieldPosition="0">
        <references count="2">
          <reference field="17" count="4">
            <x v="5"/>
            <x v="6"/>
            <x v="7"/>
            <x v="8"/>
          </reference>
          <reference field="18" count="1" selected="0">
            <x v="1"/>
          </reference>
        </references>
      </pivotArea>
    </format>
    <format dxfId="95">
      <pivotArea collapsedLevelsAreSubtotals="1" fieldPosition="0">
        <references count="1">
          <reference field="18" count="1">
            <x v="0"/>
          </reference>
        </references>
      </pivotArea>
    </format>
    <format dxfId="94">
      <pivotArea collapsedLevelsAreSubtotals="1" fieldPosition="0">
        <references count="2">
          <reference field="17" count="5">
            <x v="0"/>
            <x v="1"/>
            <x v="2"/>
            <x v="3"/>
            <x v="4"/>
          </reference>
          <reference field="18" count="1" selected="0">
            <x v="0"/>
          </reference>
        </references>
      </pivotArea>
    </format>
    <format dxfId="93">
      <pivotArea collapsedLevelsAreSubtotals="1" fieldPosition="0">
        <references count="1">
          <reference field="18" count="1">
            <x v="1"/>
          </reference>
        </references>
      </pivotArea>
    </format>
    <format dxfId="92">
      <pivotArea collapsedLevelsAreSubtotals="1" fieldPosition="0">
        <references count="2">
          <reference field="17" count="4">
            <x v="5"/>
            <x v="6"/>
            <x v="7"/>
            <x v="8"/>
          </reference>
          <reference field="18" count="1" selected="0">
            <x v="1"/>
          </reference>
        </references>
      </pivotArea>
    </format>
    <format dxfId="91">
      <pivotArea collapsedLevelsAreSubtotals="1" fieldPosition="0">
        <references count="1">
          <reference field="18" count="1">
            <x v="2"/>
          </reference>
        </references>
      </pivotArea>
    </format>
    <format dxfId="90">
      <pivotArea collapsedLevelsAreSubtotals="1" fieldPosition="0">
        <references count="2">
          <reference field="17" count="1">
            <x v="9"/>
          </reference>
          <reference field="18" count="1" selected="0">
            <x v="2"/>
          </reference>
        </references>
      </pivotArea>
    </format>
    <format dxfId="89">
      <pivotArea collapsedLevelsAreSubtotals="1" fieldPosition="0">
        <references count="1">
          <reference field="25" count="1">
            <x v="0"/>
          </reference>
        </references>
      </pivotArea>
    </format>
    <format dxfId="88">
      <pivotArea collapsedLevelsAreSubtotals="1" fieldPosition="0">
        <references count="2">
          <reference field="18" count="1">
            <x v="0"/>
          </reference>
          <reference field="25" count="1" selected="0">
            <x v="0"/>
          </reference>
        </references>
      </pivotArea>
    </format>
    <format dxfId="87">
      <pivotArea collapsedLevelsAreSubtotals="1" fieldPosition="0">
        <references count="3">
          <reference field="17" count="5">
            <x v="0"/>
            <x v="1"/>
            <x v="2"/>
            <x v="3"/>
            <x v="4"/>
          </reference>
          <reference field="18" count="1" selected="0">
            <x v="0"/>
          </reference>
          <reference field="25" count="1" selected="0">
            <x v="0"/>
          </reference>
        </references>
      </pivotArea>
    </format>
    <format dxfId="86">
      <pivotArea collapsedLevelsAreSubtotals="1" fieldPosition="0">
        <references count="2">
          <reference field="18" count="1">
            <x v="1"/>
          </reference>
          <reference field="25" count="1" selected="0">
            <x v="0"/>
          </reference>
        </references>
      </pivotArea>
    </format>
    <format dxfId="85">
      <pivotArea collapsedLevelsAreSubtotals="1" fieldPosition="0">
        <references count="3">
          <reference field="17" count="5">
            <x v="4"/>
            <x v="5"/>
            <x v="6"/>
            <x v="7"/>
            <x v="8"/>
          </reference>
          <reference field="18" count="1" selected="0">
            <x v="1"/>
          </reference>
          <reference field="25" count="1" selected="0">
            <x v="0"/>
          </reference>
        </references>
      </pivotArea>
    </format>
    <format dxfId="84">
      <pivotArea collapsedLevelsAreSubtotals="1" fieldPosition="0">
        <references count="2">
          <reference field="18" count="1">
            <x v="2"/>
          </reference>
          <reference field="25" count="1" selected="0">
            <x v="0"/>
          </reference>
        </references>
      </pivotArea>
    </format>
    <format dxfId="83">
      <pivotArea collapsedLevelsAreSubtotals="1" fieldPosition="0">
        <references count="2">
          <reference field="18" count="1">
            <x v="3"/>
          </reference>
          <reference field="25" count="1" selected="0">
            <x v="0"/>
          </reference>
        </references>
      </pivotArea>
    </format>
    <format dxfId="82">
      <pivotArea collapsedLevelsAreSubtotals="1" fieldPosition="0">
        <references count="3">
          <reference field="17" count="4">
            <x v="13"/>
            <x v="14"/>
            <x v="15"/>
            <x v="16"/>
          </reference>
          <reference field="18" count="1" selected="0">
            <x v="3"/>
          </reference>
          <reference field="25" count="1" selected="0">
            <x v="0"/>
          </reference>
        </references>
      </pivotArea>
    </format>
    <format dxfId="81">
      <pivotArea collapsedLevelsAreSubtotals="1" fieldPosition="0">
        <references count="2">
          <reference field="18" count="1">
            <x v="4"/>
          </reference>
          <reference field="25" count="1" selected="0">
            <x v="0"/>
          </reference>
        </references>
      </pivotArea>
    </format>
    <format dxfId="80">
      <pivotArea collapsedLevelsAreSubtotals="1" fieldPosition="0">
        <references count="3">
          <reference field="17" count="5">
            <x v="16"/>
            <x v="17"/>
            <x v="18"/>
            <x v="19"/>
            <x v="20"/>
          </reference>
          <reference field="18" count="1" selected="0">
            <x v="4"/>
          </reference>
          <reference field="25" count="1" selected="0">
            <x v="0"/>
          </reference>
        </references>
      </pivotArea>
    </format>
    <format dxfId="79">
      <pivotArea collapsedLevelsAreSubtotals="1" fieldPosition="0">
        <references count="2">
          <reference field="18" count="1">
            <x v="5"/>
          </reference>
          <reference field="25" count="1" selected="0">
            <x v="0"/>
          </reference>
        </references>
      </pivotArea>
    </format>
    <format dxfId="78">
      <pivotArea collapsedLevelsAreSubtotals="1" fieldPosition="0">
        <references count="3">
          <reference field="17" count="1">
            <x v="21"/>
          </reference>
          <reference field="18" count="1" selected="0">
            <x v="5"/>
          </reference>
          <reference field="25" count="1" selected="0">
            <x v="0"/>
          </reference>
        </references>
      </pivotArea>
    </format>
    <format dxfId="77">
      <pivotArea collapsedLevelsAreSubtotals="1" fieldPosition="0">
        <references count="2">
          <reference field="18" count="1">
            <x v="6"/>
          </reference>
          <reference field="25" count="1" selected="0">
            <x v="0"/>
          </reference>
        </references>
      </pivotArea>
    </format>
    <format dxfId="76">
      <pivotArea collapsedLevelsAreSubtotals="1" fieldPosition="0">
        <references count="3">
          <reference field="17" count="5">
            <x v="22"/>
            <x v="23"/>
            <x v="24"/>
            <x v="25"/>
            <x v="26"/>
          </reference>
          <reference field="18" count="1" selected="0">
            <x v="6"/>
          </reference>
          <reference field="25" count="1" selected="0">
            <x v="0"/>
          </reference>
        </references>
      </pivotArea>
    </format>
    <format dxfId="75">
      <pivotArea collapsedLevelsAreSubtotals="1" fieldPosition="0">
        <references count="2">
          <reference field="18" count="1">
            <x v="7"/>
          </reference>
          <reference field="25" count="1" selected="0">
            <x v="0"/>
          </reference>
        </references>
      </pivotArea>
    </format>
    <format dxfId="74">
      <pivotArea collapsedLevelsAreSubtotals="1" fieldPosition="0">
        <references count="3">
          <reference field="17" count="6">
            <x v="26"/>
            <x v="27"/>
            <x v="28"/>
            <x v="29"/>
            <x v="30"/>
            <x v="31"/>
          </reference>
          <reference field="18" count="1" selected="0">
            <x v="7"/>
          </reference>
          <reference field="25" count="1" selected="0">
            <x v="0"/>
          </reference>
        </references>
      </pivotArea>
    </format>
    <format dxfId="73">
      <pivotArea collapsedLevelsAreSubtotals="1" fieldPosition="0">
        <references count="1">
          <reference field="25" count="1">
            <x v="1"/>
          </reference>
        </references>
      </pivotArea>
    </format>
    <format dxfId="72">
      <pivotArea collapsedLevelsAreSubtotals="1" fieldPosition="0">
        <references count="2">
          <reference field="18" count="1">
            <x v="0"/>
          </reference>
          <reference field="25" count="1" selected="0">
            <x v="1"/>
          </reference>
        </references>
      </pivotArea>
    </format>
    <format dxfId="71">
      <pivotArea collapsedLevelsAreSubtotals="1" fieldPosition="0">
        <references count="3">
          <reference field="17" count="5">
            <x v="0"/>
            <x v="1"/>
            <x v="2"/>
            <x v="3"/>
            <x v="4"/>
          </reference>
          <reference field="18" count="1" selected="0">
            <x v="0"/>
          </reference>
          <reference field="25" count="1" selected="0">
            <x v="1"/>
          </reference>
        </references>
      </pivotArea>
    </format>
    <format dxfId="70">
      <pivotArea collapsedLevelsAreSubtotals="1" fieldPosition="0">
        <references count="2">
          <reference field="18" count="1">
            <x v="1"/>
          </reference>
          <reference field="25" count="1" selected="0">
            <x v="1"/>
          </reference>
        </references>
      </pivotArea>
    </format>
    <format dxfId="69">
      <pivotArea collapsedLevelsAreSubtotals="1" fieldPosition="0">
        <references count="3">
          <reference field="17" count="4">
            <x v="5"/>
            <x v="6"/>
            <x v="7"/>
            <x v="8"/>
          </reference>
          <reference field="18" count="1" selected="0">
            <x v="1"/>
          </reference>
          <reference field="25" count="1" selected="0">
            <x v="1"/>
          </reference>
        </references>
      </pivotArea>
    </format>
    <format dxfId="68">
      <pivotArea collapsedLevelsAreSubtotals="1" fieldPosition="0">
        <references count="2">
          <reference field="18" count="1">
            <x v="2"/>
          </reference>
          <reference field="25" count="1" selected="0">
            <x v="1"/>
          </reference>
        </references>
      </pivotArea>
    </format>
    <format dxfId="67">
      <pivotArea grandRow="1" outline="0" collapsedLevelsAreSubtotals="1" fieldPosition="0"/>
    </format>
    <format dxfId="66">
      <pivotArea grandRow="1" outline="0" collapsedLevelsAreSubtotals="1" fieldPosition="0"/>
    </format>
    <format dxfId="65">
      <pivotArea grandRow="1" outline="0" collapsedLevelsAreSubtotals="1" fieldPosition="0"/>
    </format>
  </formats>
  <conditionalFormats count="4">
    <conditionalFormat priority="1">
      <pivotAreas count="18">
        <pivotArea type="data" collapsedLevelsAreSubtotals="1" fieldPosition="0">
          <references count="2">
            <reference field="18" count="1">
              <x v="3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4">
              <x v="13"/>
              <x v="14"/>
              <x v="15"/>
              <x v="16"/>
            </reference>
            <reference field="18" count="1" selected="0">
              <x v="3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4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16"/>
              <x v="17"/>
              <x v="18"/>
              <x v="19"/>
              <x v="20"/>
            </reference>
            <reference field="18" count="1" selected="0">
              <x v="4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5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1">
              <x v="21"/>
            </reference>
            <reference field="18" count="1" selected="0">
              <x v="5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6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22"/>
              <x v="23"/>
              <x v="24"/>
              <x v="25"/>
              <x v="26"/>
            </reference>
            <reference field="18" count="1" selected="0">
              <x v="6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7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6">
              <x v="26"/>
              <x v="27"/>
              <x v="28"/>
              <x v="29"/>
              <x v="30"/>
              <x v="31"/>
            </reference>
            <reference field="18" count="1" selected="0">
              <x v="7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8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31"/>
              <x v="32"/>
              <x v="33"/>
              <x v="34"/>
              <x v="35"/>
            </reference>
            <reference field="18" count="1" selected="0">
              <x v="8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9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35"/>
              <x v="36"/>
              <x v="37"/>
              <x v="38"/>
              <x v="39"/>
            </reference>
            <reference field="18" count="1" selected="0">
              <x v="9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6">
              <x v="39"/>
              <x v="40"/>
              <x v="41"/>
              <x v="42"/>
              <x v="43"/>
              <x v="44"/>
            </reference>
            <reference field="18" count="1" selected="0">
              <x v="1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44"/>
              <x v="45"/>
              <x v="46"/>
              <x v="47"/>
              <x v="48"/>
            </reference>
            <reference field="18" count="1" selected="0">
              <x v="11"/>
            </reference>
            <reference field="25" count="1" selected="0">
              <x v="0"/>
            </reference>
          </references>
        </pivotArea>
      </pivotAreas>
    </conditionalFormat>
    <conditionalFormat priority="2">
      <pivotAreas count="18">
        <pivotArea type="data" collapsedLevelsAreSubtotals="1" fieldPosition="0">
          <references count="2">
            <reference field="18" count="1">
              <x v="3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4">
              <x v="13"/>
              <x v="14"/>
              <x v="15"/>
              <x v="16"/>
            </reference>
            <reference field="18" count="1" selected="0">
              <x v="3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4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16"/>
              <x v="17"/>
              <x v="18"/>
              <x v="19"/>
              <x v="20"/>
            </reference>
            <reference field="18" count="1" selected="0">
              <x v="4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5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1">
              <x v="21"/>
            </reference>
            <reference field="18" count="1" selected="0">
              <x v="5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6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22"/>
              <x v="23"/>
              <x v="24"/>
              <x v="25"/>
              <x v="26"/>
            </reference>
            <reference field="18" count="1" selected="0">
              <x v="6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7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6">
              <x v="26"/>
              <x v="27"/>
              <x v="28"/>
              <x v="29"/>
              <x v="30"/>
              <x v="31"/>
            </reference>
            <reference field="18" count="1" selected="0">
              <x v="7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8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31"/>
              <x v="32"/>
              <x v="33"/>
              <x v="34"/>
              <x v="35"/>
            </reference>
            <reference field="18" count="1" selected="0">
              <x v="8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9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35"/>
              <x v="36"/>
              <x v="37"/>
              <x v="38"/>
              <x v="39"/>
            </reference>
            <reference field="18" count="1" selected="0">
              <x v="9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6">
              <x v="39"/>
              <x v="40"/>
              <x v="41"/>
              <x v="42"/>
              <x v="43"/>
              <x v="44"/>
            </reference>
            <reference field="18" count="1" selected="0">
              <x v="1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44"/>
              <x v="45"/>
              <x v="46"/>
              <x v="47"/>
              <x v="48"/>
            </reference>
            <reference field="18" count="1" selected="0">
              <x v="11"/>
            </reference>
            <reference field="25" count="1" selected="0">
              <x v="0"/>
            </reference>
          </references>
        </pivotArea>
      </pivotAreas>
    </conditionalFormat>
    <conditionalFormat priority="4">
      <pivotAreas count="12">
        <pivotArea type="data" collapsedLevelsAreSubtotals="1" fieldPosition="0">
          <references count="1">
            <reference field="25" count="1">
              <x v="0"/>
            </reference>
          </references>
        </pivotArea>
        <pivotArea type="data" collapsedLevelsAreSubtotals="1" fieldPosition="0">
          <references count="2">
            <reference field="18" count="1">
              <x v="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4"/>
              <x v="5"/>
              <x v="6"/>
              <x v="7"/>
              <x v="8"/>
            </reference>
            <reference field="18" count="1" selected="0">
              <x v="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2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1">
            <reference field="25" count="1">
              <x v="1"/>
            </reference>
          </references>
        </pivotArea>
        <pivotArea type="data" collapsedLevelsAreSubtotals="1" fieldPosition="0">
          <references count="2">
            <reference field="18" count="1">
              <x v="0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2">
            <reference field="18" count="1">
              <x v="1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4">
              <x v="5"/>
              <x v="6"/>
              <x v="7"/>
              <x v="8"/>
            </reference>
            <reference field="18" count="1" selected="0">
              <x v="1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2">
            <reference field="18" count="1">
              <x v="2"/>
            </reference>
            <reference field="25" count="1" selected="0">
              <x v="1"/>
            </reference>
          </references>
        </pivotArea>
      </pivotAreas>
    </conditionalFormat>
    <conditionalFormat priority="3">
      <pivotAreas count="12">
        <pivotArea type="data" collapsedLevelsAreSubtotals="1" fieldPosition="0">
          <references count="1">
            <reference field="25" count="1">
              <x v="0"/>
            </reference>
          </references>
        </pivotArea>
        <pivotArea type="data" collapsedLevelsAreSubtotals="1" fieldPosition="0">
          <references count="2">
            <reference field="18" count="1">
              <x v="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4"/>
              <x v="5"/>
              <x v="6"/>
              <x v="7"/>
              <x v="8"/>
            </reference>
            <reference field="18" count="1" selected="0">
              <x v="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2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1">
            <reference field="25" count="1">
              <x v="1"/>
            </reference>
          </references>
        </pivotArea>
        <pivotArea type="data" collapsedLevelsAreSubtotals="1" fieldPosition="0">
          <references count="2">
            <reference field="18" count="1">
              <x v="0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2">
            <reference field="18" count="1">
              <x v="1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4">
              <x v="5"/>
              <x v="6"/>
              <x v="7"/>
              <x v="8"/>
            </reference>
            <reference field="18" count="1" selected="0">
              <x v="1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2">
            <reference field="18" count="1">
              <x v="2"/>
            </reference>
            <reference field="25" count="1" selected="0">
              <x v="1"/>
            </reference>
          </references>
        </pivotArea>
      </pivotAreas>
    </conditionalFormat>
  </conditionalFormats>
  <chartFormats count="6">
    <chartFormat chart="1" format="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1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74EEF-864F-4AAC-A3D8-7647C7781020}" name="TablaDinámica9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A6:C13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multipleItemSelectionAllowed="1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50">
        <item h="1" x="0"/>
        <item h="1" x="1"/>
        <item h="1" x="2"/>
        <item h="1" x="3"/>
        <item h="1" x="4"/>
        <item h="1" x="5"/>
        <item h="1" x="16"/>
        <item h="1" x="17"/>
        <item h="1" x="18"/>
        <item h="1" x="6"/>
        <item h="1" x="20"/>
        <item h="1" x="21"/>
        <item x="22"/>
        <item h="1" x="7"/>
        <item h="1" x="24"/>
        <item h="1" x="25"/>
        <item h="1" x="8"/>
        <item h="1" x="23"/>
        <item h="1" x="26"/>
        <item h="1" x="27"/>
        <item h="1" x="28"/>
        <item h="1" x="9"/>
        <item h="1" x="10"/>
        <item h="1" x="29"/>
        <item h="1" x="30"/>
        <item h="1" x="31"/>
        <item h="1" x="11"/>
        <item h="1" x="19"/>
        <item h="1" x="32"/>
        <item h="1" x="33"/>
        <item h="1" x="34"/>
        <item h="1" x="12"/>
        <item h="1" x="35"/>
        <item h="1" x="36"/>
        <item h="1" x="37"/>
        <item h="1" x="13"/>
        <item h="1" x="38"/>
        <item h="1" x="39"/>
        <item h="1" x="40"/>
        <item h="1" x="41"/>
        <item h="1" x="14"/>
        <item h="1" x="42"/>
        <item h="1" x="44"/>
        <item h="1" x="45"/>
        <item h="1" x="15"/>
        <item h="1" x="43"/>
        <item h="1" x="46"/>
        <item h="1" x="47"/>
        <item h="1" x="48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axis="axisRow" showAll="0">
      <items count="3">
        <item x="0"/>
        <item x="1"/>
        <item t="default"/>
      </items>
    </pivotField>
  </pivotFields>
  <rowFields count="3">
    <field x="25"/>
    <field x="18"/>
    <field x="17"/>
  </rowFields>
  <rowItems count="7">
    <i>
      <x/>
    </i>
    <i r="1">
      <x v="2"/>
    </i>
    <i r="2">
      <x v="12"/>
    </i>
    <i>
      <x v="1"/>
    </i>
    <i r="1">
      <x v="2"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Fpbase" fld="24" subtotal="average" baseField="17" baseItem="0" numFmtId="2"/>
    <dataField name="Promedio de fp" fld="12" subtotal="average" baseField="17" baseItem="0"/>
  </dataFields>
  <formats count="37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6" type="button" dataOnly="0" labelOnly="1" outline="0"/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6" type="button" dataOnly="0" labelOnly="1" outline="0"/>
    </format>
    <format dxfId="57">
      <pivotArea dataOnly="0" labelOnly="1" grandRow="1" outline="0" fieldPosition="0"/>
    </format>
    <format dxfId="56">
      <pivotArea field="18" type="button" dataOnly="0" labelOnly="1" outline="0" axis="axisRow" fieldPosition="1"/>
    </format>
    <format dxfId="55">
      <pivotArea field="18" type="button" dataOnly="0" labelOnly="1" outline="0" axis="axisRow" fieldPosition="1"/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field="18" type="button" dataOnly="0" labelOnly="1" outline="0" axis="axisRow" fieldPosition="1"/>
    </format>
    <format dxfId="49">
      <pivotArea field="18" type="button" dataOnly="0" labelOnly="1" outline="0" axis="axisRow" fieldPosition="1"/>
    </format>
    <format dxfId="48">
      <pivotArea field="18" type="button" dataOnly="0" labelOnly="1" outline="0" axis="axisRow" fieldPosition="1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8" type="button" dataOnly="0" labelOnly="1" outline="0" axis="axisRow" fieldPosition="1"/>
    </format>
    <format dxfId="44">
      <pivotArea dataOnly="0" labelOnly="1" fieldPosition="0">
        <references count="1">
          <reference field="18" count="0"/>
        </references>
      </pivotArea>
    </format>
    <format dxfId="43">
      <pivotArea dataOnly="0" labelOnly="1" grandRow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grandRow="1" outline="0" collapsedLevelsAreSubtotals="1" fieldPosition="0"/>
    </format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8" type="button" dataOnly="0" labelOnly="1" outline="0" axis="axisRow" fieldPosition="1"/>
    </format>
    <format dxfId="35">
      <pivotArea field="18" type="button" dataOnly="0" labelOnly="1" outline="0" axis="axisRow" fieldPosition="1"/>
    </format>
    <format dxfId="34">
      <pivotArea type="all" dataOnly="0" outline="0" fieldPosition="0"/>
    </format>
    <format dxfId="33">
      <pivotArea dataOnly="0" labelOnly="1" fieldPosition="0">
        <references count="1">
          <reference field="18" count="0"/>
        </references>
      </pivotArea>
    </format>
    <format dxfId="32">
      <pivotArea dataOnly="0" labelOnly="1" grandRow="1" outline="0" fieldPosition="0"/>
    </format>
    <format dxfId="31">
      <pivotArea field="18" type="button" dataOnly="0" labelOnly="1" outline="0" axis="axisRow" fieldPosition="1"/>
    </format>
    <format dxfId="30">
      <pivotArea dataOnly="0" grandRow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3">
    <conditionalFormat priority="1">
      <pivotAreas count="32">
        <pivotArea type="data" collapsedLevelsAreSubtotals="1" fieldPosition="0">
          <references count="1">
            <reference field="25" count="1">
              <x v="0"/>
            </reference>
          </references>
        </pivotArea>
        <pivotArea type="data" collapsedLevelsAreSubtotals="1" fieldPosition="0">
          <references count="2">
            <reference field="18" count="1">
              <x v="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4"/>
              <x v="5"/>
              <x v="6"/>
              <x v="7"/>
              <x v="8"/>
            </reference>
            <reference field="18" count="1" selected="0">
              <x v="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2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9"/>
              <x v="10"/>
              <x v="11"/>
              <x v="12"/>
              <x v="13"/>
            </reference>
            <reference field="18" count="1" selected="0">
              <x v="2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3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4">
              <x v="13"/>
              <x v="14"/>
              <x v="15"/>
              <x v="16"/>
            </reference>
            <reference field="18" count="1" selected="0">
              <x v="3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4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16"/>
              <x v="17"/>
              <x v="18"/>
              <x v="19"/>
              <x v="20"/>
            </reference>
            <reference field="18" count="1" selected="0">
              <x v="4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5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1">
              <x v="21"/>
            </reference>
            <reference field="18" count="1" selected="0">
              <x v="5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6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22"/>
              <x v="23"/>
              <x v="24"/>
              <x v="25"/>
              <x v="26"/>
            </reference>
            <reference field="18" count="1" selected="0">
              <x v="6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7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6">
              <x v="26"/>
              <x v="27"/>
              <x v="28"/>
              <x v="29"/>
              <x v="30"/>
              <x v="31"/>
            </reference>
            <reference field="18" count="1" selected="0">
              <x v="7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8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31"/>
              <x v="32"/>
              <x v="33"/>
              <x v="34"/>
              <x v="35"/>
            </reference>
            <reference field="18" count="1" selected="0">
              <x v="8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9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35"/>
              <x v="36"/>
              <x v="37"/>
              <x v="38"/>
              <x v="39"/>
            </reference>
            <reference field="18" count="1" selected="0">
              <x v="9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6">
              <x v="39"/>
              <x v="40"/>
              <x v="41"/>
              <x v="42"/>
              <x v="43"/>
              <x v="44"/>
            </reference>
            <reference field="18" count="1" selected="0">
              <x v="10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2">
            <reference field="18" count="1">
              <x v="1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3">
            <reference field="17" count="5">
              <x v="44"/>
              <x v="45"/>
              <x v="46"/>
              <x v="47"/>
              <x v="48"/>
            </reference>
            <reference field="18" count="1" selected="0">
              <x v="11"/>
            </reference>
            <reference field="25" count="1" selected="0">
              <x v="0"/>
            </reference>
          </references>
        </pivotArea>
        <pivotArea type="data" collapsedLevelsAreSubtotals="1" fieldPosition="0">
          <references count="1">
            <reference field="25" count="1">
              <x v="1"/>
            </reference>
          </references>
        </pivotArea>
        <pivotArea type="data" collapsedLevelsAreSubtotals="1" fieldPosition="0">
          <references count="2">
            <reference field="18" count="1">
              <x v="0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2">
            <reference field="18" count="1">
              <x v="1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4">
              <x v="5"/>
              <x v="6"/>
              <x v="7"/>
              <x v="8"/>
            </reference>
            <reference field="18" count="1" selected="0">
              <x v="1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2">
            <reference field="18" count="1">
              <x v="2"/>
            </reference>
            <reference field="25" count="1" selected="0">
              <x v="1"/>
            </reference>
          </references>
        </pivotArea>
        <pivotArea type="data" collapsedLevelsAreSubtotals="1" fieldPosition="0">
          <references count="3">
            <reference field="17" count="4">
              <x v="9"/>
              <x v="10"/>
              <x v="11"/>
              <x v="12"/>
            </reference>
            <reference field="18" count="1" selected="0">
              <x v="2"/>
            </reference>
            <reference field="25" count="1" selected="0">
              <x v="1"/>
            </reference>
          </references>
        </pivotArea>
      </pivotAreas>
    </conditionalFormat>
    <conditionalFormat priority="2">
      <pivotAreas count="2">
        <pivotArea type="data" collapsedLevelsAreSubtotals="1" fieldPosition="0">
          <references count="1">
            <reference field="18" count="1">
              <x v="0"/>
            </reference>
          </references>
        </pivotArea>
        <pivotArea type="data" collapsedLevelsAreSubtotals="1" fieldPosition="0">
          <references count="2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</references>
        </pivotArea>
      </pivotAreas>
    </conditionalFormat>
    <conditionalFormat priority="4">
      <pivotAreas count="2">
        <pivotArea type="data" collapsedLevelsAreSubtotals="1" fieldPosition="0">
          <references count="1">
            <reference field="18" count="1">
              <x v="0"/>
            </reference>
          </references>
        </pivotArea>
        <pivotArea type="data" collapsedLevelsAreSubtotals="1" fieldPosition="0">
          <references count="2">
            <reference field="17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</references>
        </pivotArea>
      </pivotAreas>
    </conditionalFormat>
  </conditionalFormats>
  <chartFormats count="2">
    <chartFormat chart="7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5D3EAFBD-EF1C-45E3-9DDA-AAB602F3F60F}" sourceName="AÑO">
  <pivotTables>
    <pivotTable tabId="10" name="TablaDinámica9"/>
  </pivotTables>
  <data>
    <tabular pivotCacheId="94326669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41B45858-F369-4EBC-8416-29313331B415}" sourceName="MES">
  <pivotTables>
    <pivotTable tabId="10" name="TablaDinámica9"/>
  </pivotTables>
  <data>
    <tabular pivotCacheId="943266697">
      <items count="12">
        <i x="2" s="1"/>
        <i x="0" nd="1"/>
        <i x="1" nd="1"/>
        <i x="3" nd="1"/>
        <i x="4" nd="1"/>
        <i x="5" nd="1"/>
        <i x="6" nd="1"/>
        <i x="7" nd="1"/>
        <i x="8" nd="1"/>
        <i x="9" nd="1"/>
        <i x="10" nd="1"/>
        <i x="1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E8CAAC7C-AF8E-4CC3-9CD8-C7E961450E1E}" sourceName="AÑO">
  <pivotTables>
    <pivotTable tabId="15" name="TablaDinámica9"/>
  </pivotTables>
  <data>
    <tabular pivotCacheId="943266697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63892BA7-C2AF-4AA5-B0F7-DDB9308AC137}" sourceName="MES">
  <pivotTables>
    <pivotTable tabId="15" name="TablaDinámica9"/>
  </pivotTables>
  <data>
    <tabular pivotCacheId="943266697">
      <items count="12">
        <i x="2" s="1"/>
        <i x="0" nd="1"/>
        <i x="1" nd="1"/>
        <i x="3" nd="1"/>
        <i x="4" nd="1"/>
        <i x="5" nd="1"/>
        <i x="6" nd="1"/>
        <i x="7" nd="1"/>
        <i x="8" nd="1"/>
        <i x="9" nd="1"/>
        <i x="10" nd="1"/>
        <i x="1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1" xr10:uid="{50C505C4-F6D9-421D-8A1D-411D0DBCE101}" sourceName="AÑO">
  <pivotTables>
    <pivotTable tabId="19" name="TablaDinámica9"/>
  </pivotTables>
  <data>
    <tabular pivotCacheId="1294155027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1" xr10:uid="{37FD8B38-A9D5-4A7D-B6DD-02644844619E}" sourceName="MES">
  <pivotTables>
    <pivotTable tabId="19" name="TablaDinámica9"/>
  </pivotTables>
  <data>
    <tabular pivotCacheId="1294155027">
      <items count="12">
        <i x="2" s="1"/>
        <i x="0" nd="1"/>
        <i x="1" nd="1"/>
        <i x="3" nd="1"/>
        <i x="4" nd="1"/>
        <i x="5" nd="1"/>
        <i x="6" nd="1"/>
        <i x="7" nd="1"/>
        <i x="8" nd="1"/>
        <i x="9" nd="1"/>
        <i x="10" nd="1"/>
        <i x="1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" xr10:uid="{03472067-3669-45A5-95A4-D7AE313EEC37}" sourceName="Semana">
  <pivotTables>
    <pivotTable tabId="15" name="TablaDinámica9"/>
  </pivotTables>
  <data>
    <tabular pivotCacheId="943266697">
      <items count="49">
        <i x="6"/>
        <i x="20"/>
        <i x="21"/>
        <i x="22" s="1"/>
        <i x="7"/>
        <i x="0" nd="1"/>
        <i x="1" nd="1"/>
        <i x="2" nd="1"/>
        <i x="3" nd="1"/>
        <i x="4" nd="1"/>
        <i x="5" nd="1"/>
        <i x="16" nd="1"/>
        <i x="17" nd="1"/>
        <i x="18" nd="1"/>
        <i x="24" nd="1"/>
        <i x="25" nd="1"/>
        <i x="8" nd="1"/>
        <i x="23" nd="1"/>
        <i x="26" nd="1"/>
        <i x="27" nd="1"/>
        <i x="28" nd="1"/>
        <i x="9" nd="1"/>
        <i x="10" nd="1"/>
        <i x="29" nd="1"/>
        <i x="30" nd="1"/>
        <i x="31" nd="1"/>
        <i x="11" nd="1"/>
        <i x="19" nd="1"/>
        <i x="32" nd="1"/>
        <i x="33" nd="1"/>
        <i x="34" nd="1"/>
        <i x="12" nd="1"/>
        <i x="35" nd="1"/>
        <i x="36" nd="1"/>
        <i x="37" nd="1"/>
        <i x="13" nd="1"/>
        <i x="38" nd="1"/>
        <i x="39" nd="1"/>
        <i x="40" nd="1"/>
        <i x="41" nd="1"/>
        <i x="14" nd="1"/>
        <i x="42" nd="1"/>
        <i x="44" nd="1"/>
        <i x="45" nd="1"/>
        <i x="15" nd="1"/>
        <i x="43" nd="1"/>
        <i x="46" nd="1"/>
        <i x="47" nd="1"/>
        <i x="48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1" xr10:uid="{8966BF58-CCC5-4AA4-81E0-67CCF98EE1CD}" sourceName="Semana">
  <pivotTables>
    <pivotTable tabId="10" name="TablaDinámica9"/>
  </pivotTables>
  <data>
    <tabular pivotCacheId="943266697">
      <items count="49">
        <i x="6"/>
        <i x="20"/>
        <i x="21"/>
        <i x="22" s="1"/>
        <i x="7"/>
        <i x="0" nd="1"/>
        <i x="1" nd="1"/>
        <i x="2" nd="1"/>
        <i x="3" nd="1"/>
        <i x="4" nd="1"/>
        <i x="5" nd="1"/>
        <i x="16" nd="1"/>
        <i x="17" nd="1"/>
        <i x="18" nd="1"/>
        <i x="24" nd="1"/>
        <i x="25" nd="1"/>
        <i x="8" nd="1"/>
        <i x="23" nd="1"/>
        <i x="26" nd="1"/>
        <i x="27" nd="1"/>
        <i x="28" nd="1"/>
        <i x="9" nd="1"/>
        <i x="10" nd="1"/>
        <i x="29" nd="1"/>
        <i x="30" nd="1"/>
        <i x="31" nd="1"/>
        <i x="11" nd="1"/>
        <i x="19" nd="1"/>
        <i x="32" nd="1"/>
        <i x="33" nd="1"/>
        <i x="34" nd="1"/>
        <i x="12" nd="1"/>
        <i x="35" nd="1"/>
        <i x="36" nd="1"/>
        <i x="37" nd="1"/>
        <i x="13" nd="1"/>
        <i x="38" nd="1"/>
        <i x="39" nd="1"/>
        <i x="40" nd="1"/>
        <i x="41" nd="1"/>
        <i x="14" nd="1"/>
        <i x="42" nd="1"/>
        <i x="44" nd="1"/>
        <i x="45" nd="1"/>
        <i x="15" nd="1"/>
        <i x="43" nd="1"/>
        <i x="46" nd="1"/>
        <i x="47" nd="1"/>
        <i x="48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2" xr10:uid="{04A296EA-02A0-41BB-A197-62BDA0020C3F}" sourceName="Semana">
  <pivotTables>
    <pivotTable tabId="19" name="TablaDinámica9"/>
  </pivotTables>
  <data>
    <tabular pivotCacheId="1294155027">
      <items count="49">
        <i x="6"/>
        <i x="20"/>
        <i x="21"/>
        <i x="22" s="1"/>
        <i x="7"/>
        <i x="0" nd="1"/>
        <i x="1" nd="1"/>
        <i x="2" nd="1"/>
        <i x="3" nd="1"/>
        <i x="4" nd="1"/>
        <i x="5" nd="1"/>
        <i x="16" nd="1"/>
        <i x="17" nd="1"/>
        <i x="18" nd="1"/>
        <i x="24" nd="1"/>
        <i x="25" nd="1"/>
        <i x="8" nd="1"/>
        <i x="23" nd="1"/>
        <i x="26" nd="1"/>
        <i x="27" nd="1"/>
        <i x="28" nd="1"/>
        <i x="9" nd="1"/>
        <i x="10" nd="1"/>
        <i x="29" nd="1"/>
        <i x="30" nd="1"/>
        <i x="31" nd="1"/>
        <i x="11" nd="1"/>
        <i x="19" nd="1"/>
        <i x="32" nd="1"/>
        <i x="33" nd="1"/>
        <i x="34" nd="1"/>
        <i x="12" nd="1"/>
        <i x="35" nd="1"/>
        <i x="36" nd="1"/>
        <i x="37" nd="1"/>
        <i x="13" nd="1"/>
        <i x="38" nd="1"/>
        <i x="39" nd="1"/>
        <i x="40" nd="1"/>
        <i x="41" nd="1"/>
        <i x="14" nd="1"/>
        <i x="42" nd="1"/>
        <i x="44" nd="1"/>
        <i x="45" nd="1"/>
        <i x="15" nd="1"/>
        <i x="43" nd="1"/>
        <i x="46" nd="1"/>
        <i x="47" nd="1"/>
        <i x="4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B567FAED-F71F-4181-B1FA-EE1697AB2AD4}" cache="SegmentaciónDeDatos_AÑO1" caption="AÑO" rowHeight="241300"/>
  <slicer name="MES 1" xr10:uid="{9D68DF97-8ED9-45FE-BE79-19416108B097}" cache="SegmentaciónDeDatos_MES1" caption="MES" columnCount="4" rowHeight="144000"/>
  <slicer name="Semana" xr10:uid="{D0E790CC-24B4-4AE3-A0D3-FBAC98D49A0D}" cache="SegmentaciónDeDatos_Semana" caption="Semana" columnCount="4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2BDB9CCF-63FF-4C5C-8F75-DFFC6B708677}" cache="SegmentaciónDeDatos_AÑO" caption="AÑO" rowHeight="180000"/>
  <slicer name="MES" xr10:uid="{5D9195C9-43AB-4DE2-BA07-D9E4E00D0B75}" cache="SegmentaciónDeDatos_MES" caption="MES" columnCount="4" rowHeight="144000"/>
  <slicer name="Semana 1" xr10:uid="{355D8D54-4D1C-4E27-BFE2-651CB7F45804}" cache="SegmentaciónDeDatos_Semana1" caption="Semana" columnCount="3" rowHeight="108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" xr10:uid="{5691213A-F521-4341-810A-65282EC401F5}" cache="SegmentaciónDeDatos_AÑO11" caption="AÑO" rowHeight="241300"/>
  <slicer name="MES 2" xr10:uid="{AA5ACF30-19B7-47C7-9058-467D03923610}" cache="SegmentaciónDeDatos_MES11" caption="MES" columnCount="4" rowHeight="144000"/>
  <slicer name="Semana 2" xr10:uid="{5FBA3360-6EF7-418E-A7ED-E37A6FEEB90A}" cache="SegmentaciónDeDatos_Semana2" caption="Semana" columnCount="4" rowHeight="14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950C7B-969F-472A-83D0-E6E41953C9D7}" name="Tabla4" displayName="Tabla4" ref="A1:AB447" totalsRowShown="0" headerRowDxfId="217" dataDxfId="215" headerRowBorderDxfId="216" tableBorderDxfId="214" totalsRowBorderDxfId="213">
  <autoFilter ref="A1:AB447" xr:uid="{9E950C7B-969F-472A-83D0-E6E41953C9D7}"/>
  <tableColumns count="28">
    <tableColumn id="1" xr3:uid="{6D4C251A-1985-4804-9BFB-A2E62A565204}" name="1 KWH" dataDxfId="212" totalsRowDxfId="27"/>
    <tableColumn id="2" xr3:uid="{252309ED-3451-442D-B6BB-AE9A6290F889}" name="2KWH" dataDxfId="211" totalsRowDxfId="26"/>
    <tableColumn id="3" xr3:uid="{F65B29DD-7646-4A03-A400-34438307307F}" name="3KWH" dataDxfId="210" totalsRowDxfId="25"/>
    <tableColumn id="4" xr3:uid="{1BD87E94-66B7-4839-A7E5-AD36700FB994}" name="4KWH" dataDxfId="209" totalsRowDxfId="24"/>
    <tableColumn id="5" xr3:uid="{AA4855B1-92DC-4F3B-9274-AC6630B8BE87}" name="5KWH" dataDxfId="208" totalsRowDxfId="23"/>
    <tableColumn id="6" xr3:uid="{1B357616-9228-44A9-8FDF-3E486F7286B3}" name="6KWA" dataDxfId="207" totalsRowDxfId="22"/>
    <tableColumn id="7" xr3:uid="{85AA3975-8D4B-4A8C-8159-88A54846148A}" name="7KWA" dataDxfId="206" totalsRowDxfId="21"/>
    <tableColumn id="8" xr3:uid="{F26F29B3-AED7-4621-938B-04C881D527EE}" name="8KWA" dataDxfId="205" totalsRowDxfId="20"/>
    <tableColumn id="9" xr3:uid="{5232F9FF-0005-46DA-BCB6-355C37D5CBDD}" name="9KWA" dataDxfId="204" totalsRowDxfId="19"/>
    <tableColumn id="11" xr3:uid="{C2719ACA-80BD-4DDF-80F5-550A6C9A0AA3}" name="10 KVARH" dataDxfId="203" totalsRowDxfId="18"/>
    <tableColumn id="12" xr3:uid="{08001F92-0476-454E-AA7B-BBD20724C9CD}" name="15 HORA" dataDxfId="202" totalsRowDxfId="17"/>
    <tableColumn id="13" xr3:uid="{C029C69A-16F1-4D9D-9575-51A74C4FB75A}" name="fecha" dataDxfId="201" totalsRowDxfId="16"/>
    <tableColumn id="14" xr3:uid="{930EFD66-F93F-4A46-B0C2-9E038A19B3C0}" name="fp" dataDxfId="200" totalsRowDxfId="15"/>
    <tableColumn id="15" xr3:uid="{BEB83C6C-1CC1-412E-B41D-FD5FBEE88335}" name="Factor Demanda" dataDxfId="199" totalsRowDxfId="14"/>
    <tableColumn id="27" xr3:uid="{3F8AAD44-1C18-4C97-AD91-EE65D0E6FE86}" name="Max Factor Medido" dataDxfId="198" totalsRowDxfId="13">
      <calculatedColumnFormula>+MAX(Tabla4[[#This Row],[6KWA]:[9KWA]])</calculatedColumnFormula>
    </tableColumn>
    <tableColumn id="16" xr3:uid="{ED62CEFD-4541-40AF-9597-8458FC03FBFC}" name="DIA" dataDxfId="197" totalsRowDxfId="12">
      <calculatedColumnFormula>+DAY(L2)</calculatedColumnFormula>
    </tableColumn>
    <tableColumn id="17" xr3:uid="{B95F7DC6-4B8E-476B-BF9E-D8F9CC04DFE1}" name="MES" dataDxfId="196" totalsRowDxfId="11">
      <calculatedColumnFormula>+MONTH(L2)</calculatedColumnFormula>
    </tableColumn>
    <tableColumn id="25" xr3:uid="{9E16638D-4F4D-4F8F-AC9C-8E1764D0F4A8}" name="Semana" dataDxfId="195" totalsRowDxfId="10">
      <calculatedColumnFormula>WEEKNUM(L2)</calculatedColumnFormula>
    </tableColumn>
    <tableColumn id="18" xr3:uid="{22BBC241-1438-4F38-9D19-1E02EAB7FC8A}" name="MES EN-DC" dataDxfId="194" totalsRowDxfId="9">
      <calculatedColumnFormula>TEXT(L2,"mmmm")</calculatedColumnFormula>
    </tableColumn>
    <tableColumn id="19" xr3:uid="{A6AB9106-64D7-4DE6-BDEE-B75C588BDBA0}" name="kwreal 6" dataDxfId="193" totalsRowDxfId="8">
      <calculatedColumnFormula>350*F2</calculatedColumnFormula>
    </tableColumn>
    <tableColumn id="20" xr3:uid="{2DAC0903-EADD-44AC-8D9F-A8AB538943AE}" name="kwreal 7" dataDxfId="192" totalsRowDxfId="7">
      <calculatedColumnFormula>350*G2</calculatedColumnFormula>
    </tableColumn>
    <tableColumn id="21" xr3:uid="{B555059B-33A3-4445-8FBC-4C41AAB5EF95}" name="kwreal 8" dataDxfId="191" totalsRowDxfId="6">
      <calculatedColumnFormula>350*H2</calculatedColumnFormula>
    </tableColumn>
    <tableColumn id="22" xr3:uid="{42C0975F-4BC5-49A3-8301-AFAAF4012797}" name="kwreal 9" dataDxfId="190" totalsRowDxfId="5">
      <calculatedColumnFormula>+Tabla4[[#This Row],[9KWA]]*350</calculatedColumnFormula>
    </tableColumn>
    <tableColumn id="23" xr3:uid="{E0C6D6A0-3BC6-4D24-A250-3489A1D9C3AE}" name="kreal fact max" dataDxfId="189" totalsRowDxfId="4">
      <calculatedColumnFormula>350*Tabla4[[#This Row],[Max Factor Medido]]</calculatedColumnFormula>
    </tableColumn>
    <tableColumn id="26" xr3:uid="{4BDE5BF7-F30E-4695-8A34-E7B60BEF014B}" name="Fpbase" dataDxfId="188" totalsRowDxfId="3"/>
    <tableColumn id="24" xr3:uid="{6E9E1EE4-688A-4FC1-9AEC-4AB6FACE85AB}" name="AÑO" dataDxfId="187" totalsRowDxfId="2">
      <calculatedColumnFormula>+YEAR(L2)</calculatedColumnFormula>
    </tableColumn>
    <tableColumn id="28" xr3:uid="{A6505DB3-E8B7-4C18-9088-5B4A656D203C}" name="LineaBase-FD" dataDxfId="186" totalsRowDxfId="1">
      <calculatedColumnFormula>+MEDIAN(Tabla4[[#This Row],[kwreal 6]:[kwreal 9]])</calculatedColumnFormula>
    </tableColumn>
    <tableColumn id="10" xr3:uid="{A2CD8CBB-43C1-4053-86F9-2B3CE7CB9B23}" name="FactorDemanda-Base" dataDxfId="185" totalsRowDxfId="0">
      <calculatedColumnFormula>+Tabla4[[#This Row],[LineaBase-FD]]/350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65" dT="2026-02-03T04:46:36.62" personId="{D2952B5A-2B83-4AD8-8762-DCB119BB4AC3}" id="{D61C21B9-A895-4FD9-833F-2192C93D5C19}">
    <text xml:space="preserve">Datos usados de la app
</text>
  </threadedComment>
  <threadedComment ref="Z365" dT="2026-02-03T04:46:05.80" personId="{D2952B5A-2B83-4AD8-8762-DCB119BB4AC3}" id="{75710818-43F3-498E-9C87-0B68A67854D9}">
    <text>Uso de app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7"/>
  <sheetViews>
    <sheetView topLeftCell="A378" zoomScale="55" zoomScaleNormal="55" workbookViewId="0">
      <selection activeCell="J433" sqref="J433"/>
    </sheetView>
  </sheetViews>
  <sheetFormatPr baseColWidth="10" defaultColWidth="9.109375" defaultRowHeight="14.4" x14ac:dyDescent="0.3"/>
  <cols>
    <col min="1" max="1" width="10.44140625" style="18" customWidth="1"/>
    <col min="2" max="9" width="10.109375" style="18" customWidth="1"/>
    <col min="10" max="10" width="14.6640625" style="18" customWidth="1"/>
    <col min="11" max="11" width="13.33203125" style="18" customWidth="1"/>
    <col min="12" max="12" width="16.88671875" style="18" customWidth="1"/>
    <col min="13" max="13" width="9.109375" style="18"/>
    <col min="14" max="14" width="23.44140625" style="44" customWidth="1"/>
    <col min="15" max="15" width="23.44140625" style="71" customWidth="1"/>
    <col min="16" max="17" width="9.109375" style="18"/>
    <col min="18" max="18" width="16.5546875" style="18" customWidth="1"/>
    <col min="19" max="22" width="12.6640625" style="18" customWidth="1"/>
    <col min="23" max="23" width="14.109375" style="18" customWidth="1"/>
    <col min="24" max="24" width="9.109375" style="18"/>
    <col min="25" max="25" width="11.88671875" style="18" customWidth="1"/>
    <col min="26" max="26" width="11.44140625" style="75" customWidth="1"/>
    <col min="27" max="27" width="9.109375" style="75"/>
    <col min="28" max="16384" width="9.109375" style="18"/>
  </cols>
  <sheetData>
    <row r="1" spans="1:28" customFormat="1" ht="35.25" customHeight="1" x14ac:dyDescent="0.3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  <c r="L1" s="42" t="s">
        <v>11</v>
      </c>
      <c r="M1" s="42" t="s">
        <v>12</v>
      </c>
      <c r="N1" s="66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1" t="s">
        <v>24</v>
      </c>
      <c r="Z1" s="30" t="s">
        <v>25</v>
      </c>
      <c r="AA1" s="72" t="s">
        <v>26</v>
      </c>
      <c r="AB1" s="72" t="s">
        <v>27</v>
      </c>
    </row>
    <row r="2" spans="1:28" x14ac:dyDescent="0.3">
      <c r="A2" s="28">
        <v>61414</v>
      </c>
      <c r="B2" s="2">
        <v>23508</v>
      </c>
      <c r="C2" s="3">
        <v>7670</v>
      </c>
      <c r="D2" s="3">
        <v>27559</v>
      </c>
      <c r="E2" s="3">
        <v>2675</v>
      </c>
      <c r="F2" s="77">
        <v>0</v>
      </c>
      <c r="G2" s="77">
        <v>0</v>
      </c>
      <c r="H2" s="77">
        <v>1.4179999999999999</v>
      </c>
      <c r="I2" s="77">
        <v>0</v>
      </c>
      <c r="J2" s="3">
        <v>20589</v>
      </c>
      <c r="K2" s="13" t="s">
        <v>28</v>
      </c>
      <c r="L2" s="1">
        <v>45658</v>
      </c>
      <c r="M2" s="3">
        <v>0.94</v>
      </c>
      <c r="N2" s="67">
        <v>1.081</v>
      </c>
      <c r="O2" s="22">
        <f>+MAX(Tabla4[[#This Row],[6KWA]:[9KWA]])</f>
        <v>1.4179999999999999</v>
      </c>
      <c r="P2" s="3">
        <f t="shared" ref="P2:P65" si="0">+DAY(L2)</f>
        <v>1</v>
      </c>
      <c r="Q2" s="3">
        <f t="shared" ref="Q2:Q65" si="1">+MONTH(L2)</f>
        <v>1</v>
      </c>
      <c r="R2">
        <f t="shared" ref="R2:R65" si="2">WEEKNUM(L2)</f>
        <v>1</v>
      </c>
      <c r="S2" s="3" t="str">
        <f t="shared" ref="S2:S65" si="3">TEXT(L2,"mmmm")</f>
        <v>enero</v>
      </c>
      <c r="T2" s="21">
        <f t="shared" ref="T2:T65" si="4">350*F2</f>
        <v>0</v>
      </c>
      <c r="U2" s="21">
        <f t="shared" ref="U2:U65" si="5">350*G2</f>
        <v>0</v>
      </c>
      <c r="V2" s="21">
        <f t="shared" ref="V2:V65" si="6">350*H2</f>
        <v>496.29999999999995</v>
      </c>
      <c r="W2" s="21">
        <f>+Tabla4[[#This Row],[9KWA]]*350</f>
        <v>0</v>
      </c>
      <c r="X2" s="21">
        <f>350*Tabla4[[#This Row],[Max Factor Medido]]</f>
        <v>496.29999999999995</v>
      </c>
      <c r="Y2" s="39">
        <v>0.92</v>
      </c>
      <c r="Z2" s="3">
        <f t="shared" ref="Z2:Z65" si="7">+YEAR(L2)</f>
        <v>2025</v>
      </c>
      <c r="AA2" s="73">
        <f>+MEDIAN(Tabla4[[#This Row],[kwreal 6]:[kwreal 9]])</f>
        <v>0</v>
      </c>
      <c r="AB2" s="73">
        <f>+Tabla4[[#This Row],[LineaBase-FD]]/350</f>
        <v>0</v>
      </c>
    </row>
    <row r="3" spans="1:28" x14ac:dyDescent="0.3">
      <c r="A3" s="29">
        <v>61442</v>
      </c>
      <c r="B3" s="3">
        <v>23508</v>
      </c>
      <c r="C3" s="2">
        <v>7670</v>
      </c>
      <c r="D3" s="2">
        <v>27582</v>
      </c>
      <c r="E3" s="2">
        <v>2680</v>
      </c>
      <c r="F3" s="77">
        <v>0</v>
      </c>
      <c r="G3" s="77">
        <v>0</v>
      </c>
      <c r="H3" s="77">
        <v>1.409</v>
      </c>
      <c r="I3" s="77">
        <v>1.417</v>
      </c>
      <c r="J3" s="2">
        <v>20867</v>
      </c>
      <c r="K3" s="9" t="s">
        <v>29</v>
      </c>
      <c r="L3" s="4">
        <v>45659</v>
      </c>
      <c r="M3" s="2">
        <v>0.98</v>
      </c>
      <c r="N3" s="22">
        <v>1.1020000000000001</v>
      </c>
      <c r="O3" s="22">
        <f>+MAX(Tabla4[[#This Row],[6KWA]:[9KWA]])</f>
        <v>1.417</v>
      </c>
      <c r="P3" s="3">
        <f t="shared" si="0"/>
        <v>2</v>
      </c>
      <c r="Q3" s="3">
        <f t="shared" si="1"/>
        <v>1</v>
      </c>
      <c r="R3" s="3">
        <f t="shared" si="2"/>
        <v>1</v>
      </c>
      <c r="S3" s="3" t="str">
        <f t="shared" si="3"/>
        <v>enero</v>
      </c>
      <c r="T3" s="21">
        <f t="shared" si="4"/>
        <v>0</v>
      </c>
      <c r="U3" s="21">
        <f t="shared" si="5"/>
        <v>0</v>
      </c>
      <c r="V3" s="21">
        <f t="shared" si="6"/>
        <v>493.15000000000003</v>
      </c>
      <c r="W3" s="21">
        <f>+Tabla4[[#This Row],[9KWA]]*350</f>
        <v>495.95</v>
      </c>
      <c r="X3" s="21">
        <f>350*Tabla4[[#This Row],[Max Factor Medido]]</f>
        <v>495.95</v>
      </c>
      <c r="Y3" s="39">
        <v>0.92</v>
      </c>
      <c r="Z3" s="3">
        <f t="shared" si="7"/>
        <v>2025</v>
      </c>
      <c r="AA3" s="74">
        <f>+MEDIAN(Tabla4[[#This Row],[kwreal 6]:[kwreal 9]])</f>
        <v>246.57500000000002</v>
      </c>
      <c r="AB3" s="74">
        <f>+Tabla4[[#This Row],[LineaBase-FD]]/350</f>
        <v>0.70450000000000002</v>
      </c>
    </row>
    <row r="4" spans="1:28" x14ac:dyDescent="0.3">
      <c r="A4" s="28">
        <v>61470</v>
      </c>
      <c r="B4" s="2">
        <v>23520</v>
      </c>
      <c r="C4" s="3">
        <v>7675</v>
      </c>
      <c r="D4" s="3">
        <v>27593</v>
      </c>
      <c r="E4" s="3">
        <v>2680</v>
      </c>
      <c r="F4" s="77">
        <v>1.375</v>
      </c>
      <c r="G4" s="77">
        <v>1.2849999999999999</v>
      </c>
      <c r="H4" s="77">
        <v>1.409</v>
      </c>
      <c r="I4" s="77">
        <v>1.417</v>
      </c>
      <c r="J4" s="3">
        <v>20875</v>
      </c>
      <c r="K4" s="10" t="s">
        <v>30</v>
      </c>
      <c r="L4" s="1">
        <v>45660</v>
      </c>
      <c r="M4" s="2">
        <v>0.98</v>
      </c>
      <c r="N4" s="22">
        <v>0.91500000000000004</v>
      </c>
      <c r="O4" s="22">
        <f>+MAX(Tabla4[[#This Row],[6KWA]:[9KWA]])</f>
        <v>1.417</v>
      </c>
      <c r="P4" s="3">
        <f t="shared" si="0"/>
        <v>3</v>
      </c>
      <c r="Q4" s="3">
        <f t="shared" si="1"/>
        <v>1</v>
      </c>
      <c r="R4" s="3">
        <f t="shared" si="2"/>
        <v>1</v>
      </c>
      <c r="S4" s="3" t="str">
        <f t="shared" si="3"/>
        <v>enero</v>
      </c>
      <c r="T4" s="21">
        <f t="shared" si="4"/>
        <v>481.25</v>
      </c>
      <c r="U4" s="21">
        <f t="shared" si="5"/>
        <v>449.75</v>
      </c>
      <c r="V4" s="21">
        <f t="shared" si="6"/>
        <v>493.15000000000003</v>
      </c>
      <c r="W4" s="21">
        <f>+Tabla4[[#This Row],[9KWA]]*350</f>
        <v>495.95</v>
      </c>
      <c r="X4" s="21">
        <f>350*Tabla4[[#This Row],[Max Factor Medido]]</f>
        <v>495.95</v>
      </c>
      <c r="Y4" s="39">
        <v>0.92</v>
      </c>
      <c r="Z4" s="3">
        <f t="shared" si="7"/>
        <v>2025</v>
      </c>
      <c r="AA4" s="74">
        <f>+MEDIAN(Tabla4[[#This Row],[kwreal 6]:[kwreal 9]])</f>
        <v>487.20000000000005</v>
      </c>
      <c r="AB4" s="74">
        <f>+Tabla4[[#This Row],[LineaBase-FD]]/350</f>
        <v>1.3920000000000001</v>
      </c>
    </row>
    <row r="5" spans="1:28" x14ac:dyDescent="0.3">
      <c r="A5" s="29">
        <v>61499</v>
      </c>
      <c r="B5" s="2">
        <v>23533</v>
      </c>
      <c r="C5" s="2">
        <v>7680</v>
      </c>
      <c r="D5" s="2">
        <v>27604</v>
      </c>
      <c r="E5" s="2">
        <v>2680</v>
      </c>
      <c r="F5" s="77">
        <v>1.4239999999999999</v>
      </c>
      <c r="G5" s="77">
        <v>1.341</v>
      </c>
      <c r="H5" s="77">
        <v>1.409</v>
      </c>
      <c r="I5" s="77">
        <v>1.417</v>
      </c>
      <c r="J5" s="2">
        <v>20885</v>
      </c>
      <c r="K5" s="9" t="s">
        <v>31</v>
      </c>
      <c r="L5" s="4">
        <v>45661</v>
      </c>
      <c r="M5" s="2">
        <v>0.95</v>
      </c>
      <c r="N5" s="22">
        <v>1.079</v>
      </c>
      <c r="O5" s="22">
        <f>+MAX(Tabla4[[#This Row],[6KWA]:[9KWA]])</f>
        <v>1.4239999999999999</v>
      </c>
      <c r="P5" s="3">
        <f t="shared" si="0"/>
        <v>4</v>
      </c>
      <c r="Q5" s="3">
        <f t="shared" si="1"/>
        <v>1</v>
      </c>
      <c r="R5" s="3">
        <f t="shared" si="2"/>
        <v>1</v>
      </c>
      <c r="S5" s="3" t="str">
        <f t="shared" si="3"/>
        <v>enero</v>
      </c>
      <c r="T5" s="21">
        <f t="shared" si="4"/>
        <v>498.4</v>
      </c>
      <c r="U5" s="21">
        <f t="shared" si="5"/>
        <v>469.34999999999997</v>
      </c>
      <c r="V5" s="21">
        <f t="shared" si="6"/>
        <v>493.15000000000003</v>
      </c>
      <c r="W5" s="21">
        <f>+Tabla4[[#This Row],[9KWA]]*350</f>
        <v>495.95</v>
      </c>
      <c r="X5" s="21">
        <f>350*Tabla4[[#This Row],[Max Factor Medido]]</f>
        <v>498.4</v>
      </c>
      <c r="Y5" s="39">
        <v>0.92</v>
      </c>
      <c r="Z5" s="3">
        <f t="shared" si="7"/>
        <v>2025</v>
      </c>
      <c r="AA5" s="74">
        <f>+MEDIAN(Tabla4[[#This Row],[kwreal 6]:[kwreal 9]])</f>
        <v>494.55</v>
      </c>
      <c r="AB5" s="74">
        <f>+Tabla4[[#This Row],[LineaBase-FD]]/350</f>
        <v>1.413</v>
      </c>
    </row>
    <row r="6" spans="1:28" x14ac:dyDescent="0.3">
      <c r="A6" s="28">
        <v>61532</v>
      </c>
      <c r="B6" s="3">
        <v>23533</v>
      </c>
      <c r="C6" s="2">
        <v>7680</v>
      </c>
      <c r="D6" s="2">
        <v>27625</v>
      </c>
      <c r="E6" s="2">
        <v>2680</v>
      </c>
      <c r="F6" s="77">
        <v>1.4239999999999999</v>
      </c>
      <c r="G6" s="77">
        <v>1.341</v>
      </c>
      <c r="H6" s="77">
        <v>1.4419999999999999</v>
      </c>
      <c r="I6" s="77">
        <v>1.417</v>
      </c>
      <c r="J6" s="2">
        <v>20859</v>
      </c>
      <c r="K6" s="9" t="s">
        <v>32</v>
      </c>
      <c r="L6" s="1">
        <v>45662</v>
      </c>
      <c r="M6" s="2">
        <v>0.95</v>
      </c>
      <c r="N6" s="22">
        <v>1.105</v>
      </c>
      <c r="O6" s="22">
        <f>+MAX(Tabla4[[#This Row],[6KWA]:[9KWA]])</f>
        <v>1.4419999999999999</v>
      </c>
      <c r="P6" s="3">
        <f t="shared" si="0"/>
        <v>5</v>
      </c>
      <c r="Q6" s="3">
        <f t="shared" si="1"/>
        <v>1</v>
      </c>
      <c r="R6" s="3">
        <f t="shared" si="2"/>
        <v>2</v>
      </c>
      <c r="S6" s="3" t="str">
        <f t="shared" si="3"/>
        <v>enero</v>
      </c>
      <c r="T6" s="21">
        <f t="shared" si="4"/>
        <v>498.4</v>
      </c>
      <c r="U6" s="21">
        <f t="shared" si="5"/>
        <v>469.34999999999997</v>
      </c>
      <c r="V6" s="21">
        <f t="shared" si="6"/>
        <v>504.7</v>
      </c>
      <c r="W6" s="21">
        <f>+Tabla4[[#This Row],[9KWA]]*350</f>
        <v>495.95</v>
      </c>
      <c r="X6" s="21">
        <f>350*Tabla4[[#This Row],[Max Factor Medido]]</f>
        <v>504.7</v>
      </c>
      <c r="Y6" s="39">
        <v>0.94</v>
      </c>
      <c r="Z6" s="3">
        <f t="shared" si="7"/>
        <v>2025</v>
      </c>
      <c r="AA6" s="74">
        <f>+MEDIAN(Tabla4[[#This Row],[kwreal 6]:[kwreal 9]])</f>
        <v>497.17499999999995</v>
      </c>
      <c r="AB6" s="74">
        <f>+Tabla4[[#This Row],[LineaBase-FD]]/350</f>
        <v>1.4204999999999999</v>
      </c>
    </row>
    <row r="7" spans="1:28" x14ac:dyDescent="0.3">
      <c r="A7" s="28">
        <v>61554</v>
      </c>
      <c r="B7" s="3">
        <v>23533</v>
      </c>
      <c r="C7" s="3">
        <v>7680</v>
      </c>
      <c r="D7" s="3">
        <v>27650</v>
      </c>
      <c r="E7" s="3">
        <v>2689</v>
      </c>
      <c r="F7" s="77">
        <v>1.4239999999999999</v>
      </c>
      <c r="G7" s="77">
        <v>1.341</v>
      </c>
      <c r="H7" s="77">
        <v>1.4419999999999999</v>
      </c>
      <c r="I7" s="77">
        <v>1.417</v>
      </c>
      <c r="J7" s="3">
        <v>20898</v>
      </c>
      <c r="K7" s="10" t="s">
        <v>33</v>
      </c>
      <c r="L7" s="4">
        <v>45663</v>
      </c>
      <c r="M7" s="2">
        <v>0.95</v>
      </c>
      <c r="N7" s="22">
        <v>1.23</v>
      </c>
      <c r="O7" s="22">
        <f>+MAX(Tabla4[[#This Row],[6KWA]:[9KWA]])</f>
        <v>1.4419999999999999</v>
      </c>
      <c r="P7" s="3">
        <f t="shared" si="0"/>
        <v>6</v>
      </c>
      <c r="Q7" s="3">
        <f t="shared" si="1"/>
        <v>1</v>
      </c>
      <c r="R7" s="3">
        <f t="shared" si="2"/>
        <v>2</v>
      </c>
      <c r="S7" s="3" t="str">
        <f t="shared" si="3"/>
        <v>enero</v>
      </c>
      <c r="T7" s="21">
        <f t="shared" si="4"/>
        <v>498.4</v>
      </c>
      <c r="U7" s="21">
        <f t="shared" si="5"/>
        <v>469.34999999999997</v>
      </c>
      <c r="V7" s="21">
        <f t="shared" si="6"/>
        <v>504.7</v>
      </c>
      <c r="W7" s="21">
        <f>+Tabla4[[#This Row],[9KWA]]*350</f>
        <v>495.95</v>
      </c>
      <c r="X7" s="21">
        <f>350*Tabla4[[#This Row],[Max Factor Medido]]</f>
        <v>504.7</v>
      </c>
      <c r="Y7" s="39">
        <v>0.94</v>
      </c>
      <c r="Z7" s="3">
        <f t="shared" si="7"/>
        <v>2025</v>
      </c>
      <c r="AA7" s="74">
        <f>+MEDIAN(Tabla4[[#This Row],[kwreal 6]:[kwreal 9]])</f>
        <v>497.17499999999995</v>
      </c>
      <c r="AB7" s="74">
        <f>+Tabla4[[#This Row],[LineaBase-FD]]/350</f>
        <v>1.4204999999999999</v>
      </c>
    </row>
    <row r="8" spans="1:28" ht="15" customHeight="1" x14ac:dyDescent="0.3">
      <c r="A8" s="28">
        <v>61583</v>
      </c>
      <c r="B8" s="3">
        <v>23595</v>
      </c>
      <c r="C8" s="3">
        <v>7685</v>
      </c>
      <c r="D8" s="3">
        <v>27662</v>
      </c>
      <c r="E8" s="3">
        <v>2689</v>
      </c>
      <c r="F8" s="77">
        <v>1.47</v>
      </c>
      <c r="G8" s="77">
        <v>1.341</v>
      </c>
      <c r="H8" s="77">
        <v>1.4419999999999999</v>
      </c>
      <c r="I8" s="77">
        <v>1.417</v>
      </c>
      <c r="J8" s="3">
        <v>20907</v>
      </c>
      <c r="K8" s="10" t="s">
        <v>34</v>
      </c>
      <c r="L8" s="1">
        <v>45664</v>
      </c>
      <c r="M8" s="3">
        <v>0.98</v>
      </c>
      <c r="N8" s="22">
        <v>1.117</v>
      </c>
      <c r="O8" s="22">
        <f>+MAX(Tabla4[[#This Row],[6KWA]:[9KWA]])</f>
        <v>1.47</v>
      </c>
      <c r="P8" s="3">
        <f t="shared" si="0"/>
        <v>7</v>
      </c>
      <c r="Q8" s="3">
        <f t="shared" si="1"/>
        <v>1</v>
      </c>
      <c r="R8" s="3">
        <f t="shared" si="2"/>
        <v>2</v>
      </c>
      <c r="S8" s="3" t="str">
        <f t="shared" si="3"/>
        <v>enero</v>
      </c>
      <c r="T8" s="21">
        <f t="shared" si="4"/>
        <v>514.5</v>
      </c>
      <c r="U8" s="21">
        <f t="shared" si="5"/>
        <v>469.34999999999997</v>
      </c>
      <c r="V8" s="21">
        <f t="shared" si="6"/>
        <v>504.7</v>
      </c>
      <c r="W8" s="21">
        <f>+Tabla4[[#This Row],[9KWA]]*350</f>
        <v>495.95</v>
      </c>
      <c r="X8" s="21">
        <f>350*Tabla4[[#This Row],[Max Factor Medido]]</f>
        <v>514.5</v>
      </c>
      <c r="Y8" s="39">
        <v>0.94</v>
      </c>
      <c r="Z8" s="3">
        <f t="shared" si="7"/>
        <v>2025</v>
      </c>
      <c r="AA8" s="74">
        <f>+MEDIAN(Tabla4[[#This Row],[kwreal 6]:[kwreal 9]])</f>
        <v>500.32499999999999</v>
      </c>
      <c r="AB8" s="74">
        <f>+Tabla4[[#This Row],[LineaBase-FD]]/350</f>
        <v>1.4295</v>
      </c>
    </row>
    <row r="9" spans="1:28" ht="15" customHeight="1" x14ac:dyDescent="0.3">
      <c r="A9" s="28">
        <v>61612</v>
      </c>
      <c r="B9" s="3">
        <v>23558</v>
      </c>
      <c r="C9" s="3">
        <v>7690</v>
      </c>
      <c r="D9" s="3">
        <v>27674</v>
      </c>
      <c r="E9" s="3">
        <v>2689</v>
      </c>
      <c r="F9" s="77">
        <v>1.47</v>
      </c>
      <c r="G9" s="77">
        <v>1.341</v>
      </c>
      <c r="H9" s="77">
        <v>1.4419999999999999</v>
      </c>
      <c r="I9" s="77">
        <v>1.417</v>
      </c>
      <c r="J9" s="3">
        <v>20915</v>
      </c>
      <c r="K9" s="10" t="s">
        <v>35</v>
      </c>
      <c r="L9" s="4">
        <v>45665</v>
      </c>
      <c r="M9" s="3">
        <v>0.94</v>
      </c>
      <c r="N9" s="22">
        <v>1.171</v>
      </c>
      <c r="O9" s="22">
        <f>+MAX(Tabla4[[#This Row],[6KWA]:[9KWA]])</f>
        <v>1.47</v>
      </c>
      <c r="P9" s="3">
        <f t="shared" si="0"/>
        <v>8</v>
      </c>
      <c r="Q9" s="3">
        <f t="shared" si="1"/>
        <v>1</v>
      </c>
      <c r="R9" s="3">
        <f t="shared" si="2"/>
        <v>2</v>
      </c>
      <c r="S9" s="3" t="str">
        <f t="shared" si="3"/>
        <v>enero</v>
      </c>
      <c r="T9" s="21">
        <f t="shared" si="4"/>
        <v>514.5</v>
      </c>
      <c r="U9" s="21">
        <f t="shared" si="5"/>
        <v>469.34999999999997</v>
      </c>
      <c r="V9" s="21">
        <f t="shared" si="6"/>
        <v>504.7</v>
      </c>
      <c r="W9" s="21">
        <f>+Tabla4[[#This Row],[9KWA]]*350</f>
        <v>495.95</v>
      </c>
      <c r="X9" s="21">
        <f>350*Tabla4[[#This Row],[Max Factor Medido]]</f>
        <v>514.5</v>
      </c>
      <c r="Y9" s="39">
        <v>0.94</v>
      </c>
      <c r="Z9" s="3">
        <f t="shared" si="7"/>
        <v>2025</v>
      </c>
      <c r="AA9" s="74">
        <f>+MEDIAN(Tabla4[[#This Row],[kwreal 6]:[kwreal 9]])</f>
        <v>500.32499999999999</v>
      </c>
      <c r="AB9" s="74">
        <f>+Tabla4[[#This Row],[LineaBase-FD]]/350</f>
        <v>1.4295</v>
      </c>
    </row>
    <row r="10" spans="1:28" x14ac:dyDescent="0.3">
      <c r="A10" s="28">
        <v>61641</v>
      </c>
      <c r="B10" s="3">
        <v>23571</v>
      </c>
      <c r="C10" s="3">
        <v>7695</v>
      </c>
      <c r="D10" s="3">
        <v>27685</v>
      </c>
      <c r="E10" s="3">
        <v>2689</v>
      </c>
      <c r="F10" s="77">
        <v>1.47</v>
      </c>
      <c r="G10" s="77">
        <v>1.4970000000000001</v>
      </c>
      <c r="H10" s="77">
        <v>1.4419999999999999</v>
      </c>
      <c r="I10" s="77">
        <v>1.417</v>
      </c>
      <c r="J10" s="3">
        <v>20924</v>
      </c>
      <c r="K10" s="10" t="s">
        <v>28</v>
      </c>
      <c r="L10" s="1">
        <v>45666</v>
      </c>
      <c r="M10" s="3">
        <v>0.96</v>
      </c>
      <c r="N10" s="22">
        <v>1.1160000000000001</v>
      </c>
      <c r="O10" s="22">
        <f>+MAX(Tabla4[[#This Row],[6KWA]:[9KWA]])</f>
        <v>1.4970000000000001</v>
      </c>
      <c r="P10" s="3">
        <f t="shared" si="0"/>
        <v>9</v>
      </c>
      <c r="Q10" s="3">
        <f t="shared" si="1"/>
        <v>1</v>
      </c>
      <c r="R10" s="3">
        <f t="shared" si="2"/>
        <v>2</v>
      </c>
      <c r="S10" s="3" t="str">
        <f t="shared" si="3"/>
        <v>enero</v>
      </c>
      <c r="T10" s="21">
        <f t="shared" si="4"/>
        <v>514.5</v>
      </c>
      <c r="U10" s="21">
        <f t="shared" si="5"/>
        <v>523.95000000000005</v>
      </c>
      <c r="V10" s="21">
        <f t="shared" si="6"/>
        <v>504.7</v>
      </c>
      <c r="W10" s="21">
        <f>+Tabla4[[#This Row],[9KWA]]*350</f>
        <v>495.95</v>
      </c>
      <c r="X10" s="21">
        <f>350*Tabla4[[#This Row],[Max Factor Medido]]</f>
        <v>523.95000000000005</v>
      </c>
      <c r="Y10" s="39">
        <v>0.94</v>
      </c>
      <c r="Z10" s="3">
        <f t="shared" si="7"/>
        <v>2025</v>
      </c>
      <c r="AA10" s="74">
        <f>+MEDIAN(Tabla4[[#This Row],[kwreal 6]:[kwreal 9]])</f>
        <v>509.6</v>
      </c>
      <c r="AB10" s="74">
        <f>+Tabla4[[#This Row],[LineaBase-FD]]/350</f>
        <v>1.456</v>
      </c>
    </row>
    <row r="11" spans="1:28" x14ac:dyDescent="0.3">
      <c r="A11" s="28">
        <v>61670</v>
      </c>
      <c r="B11" s="3">
        <v>23583</v>
      </c>
      <c r="C11" s="3">
        <v>7699</v>
      </c>
      <c r="D11" s="3">
        <v>27696</v>
      </c>
      <c r="E11" s="3">
        <v>2689</v>
      </c>
      <c r="F11" s="77">
        <v>1.544</v>
      </c>
      <c r="G11" s="77">
        <v>1.4970000000000001</v>
      </c>
      <c r="H11" s="77">
        <v>1.4419999999999999</v>
      </c>
      <c r="I11" s="77">
        <v>1.417</v>
      </c>
      <c r="J11" s="3">
        <v>20934</v>
      </c>
      <c r="K11" s="10" t="s">
        <v>36</v>
      </c>
      <c r="L11" s="4">
        <v>45667</v>
      </c>
      <c r="M11" s="3">
        <v>0.94</v>
      </c>
      <c r="N11" s="22">
        <v>0.98599999999999999</v>
      </c>
      <c r="O11" s="22">
        <f>+MAX(Tabla4[[#This Row],[6KWA]:[9KWA]])</f>
        <v>1.544</v>
      </c>
      <c r="P11" s="3">
        <f t="shared" si="0"/>
        <v>10</v>
      </c>
      <c r="Q11" s="3">
        <f t="shared" si="1"/>
        <v>1</v>
      </c>
      <c r="R11" s="3">
        <f t="shared" si="2"/>
        <v>2</v>
      </c>
      <c r="S11" s="3" t="str">
        <f t="shared" si="3"/>
        <v>enero</v>
      </c>
      <c r="T11" s="21">
        <f t="shared" si="4"/>
        <v>540.4</v>
      </c>
      <c r="U11" s="21">
        <f t="shared" si="5"/>
        <v>523.95000000000005</v>
      </c>
      <c r="V11" s="21">
        <f t="shared" si="6"/>
        <v>504.7</v>
      </c>
      <c r="W11" s="21">
        <f>+Tabla4[[#This Row],[9KWA]]*350</f>
        <v>495.95</v>
      </c>
      <c r="X11" s="21">
        <f>350*Tabla4[[#This Row],[Max Factor Medido]]</f>
        <v>540.4</v>
      </c>
      <c r="Y11" s="39">
        <v>0.94</v>
      </c>
      <c r="Z11" s="3">
        <f t="shared" si="7"/>
        <v>2025</v>
      </c>
      <c r="AA11" s="74">
        <f>+MEDIAN(Tabla4[[#This Row],[kwreal 6]:[kwreal 9]])</f>
        <v>514.32500000000005</v>
      </c>
      <c r="AB11" s="74">
        <f>+Tabla4[[#This Row],[LineaBase-FD]]/350</f>
        <v>1.4695</v>
      </c>
    </row>
    <row r="12" spans="1:28" x14ac:dyDescent="0.3">
      <c r="A12" s="29">
        <v>61697</v>
      </c>
      <c r="B12" s="2">
        <v>23595</v>
      </c>
      <c r="C12" s="3">
        <v>7704</v>
      </c>
      <c r="D12" s="3">
        <v>27707</v>
      </c>
      <c r="E12" s="3">
        <v>2689</v>
      </c>
      <c r="F12" s="77">
        <v>1.544</v>
      </c>
      <c r="G12" s="77">
        <v>1.4970000000000001</v>
      </c>
      <c r="H12" s="77">
        <v>1.4419999999999999</v>
      </c>
      <c r="I12" s="77">
        <v>1.417</v>
      </c>
      <c r="J12" s="3">
        <v>20942</v>
      </c>
      <c r="K12" s="10" t="s">
        <v>37</v>
      </c>
      <c r="L12" s="1">
        <v>45668</v>
      </c>
      <c r="M12" s="3">
        <v>0.97</v>
      </c>
      <c r="N12" s="22">
        <v>1.08</v>
      </c>
      <c r="O12" s="22">
        <f>+MAX(Tabla4[[#This Row],[6KWA]:[9KWA]])</f>
        <v>1.544</v>
      </c>
      <c r="P12" s="3">
        <f t="shared" si="0"/>
        <v>11</v>
      </c>
      <c r="Q12" s="3">
        <f t="shared" si="1"/>
        <v>1</v>
      </c>
      <c r="R12" s="3">
        <f t="shared" si="2"/>
        <v>2</v>
      </c>
      <c r="S12" s="3" t="str">
        <f t="shared" si="3"/>
        <v>enero</v>
      </c>
      <c r="T12" s="21">
        <f t="shared" si="4"/>
        <v>540.4</v>
      </c>
      <c r="U12" s="21">
        <f t="shared" si="5"/>
        <v>523.95000000000005</v>
      </c>
      <c r="V12" s="21">
        <f t="shared" si="6"/>
        <v>504.7</v>
      </c>
      <c r="W12" s="21">
        <f>+Tabla4[[#This Row],[9KWA]]*350</f>
        <v>495.95</v>
      </c>
      <c r="X12" s="21">
        <f>350*Tabla4[[#This Row],[Max Factor Medido]]</f>
        <v>540.4</v>
      </c>
      <c r="Y12" s="39">
        <v>0.94</v>
      </c>
      <c r="Z12" s="3">
        <f t="shared" si="7"/>
        <v>2025</v>
      </c>
      <c r="AA12" s="74">
        <f>+MEDIAN(Tabla4[[#This Row],[kwreal 6]:[kwreal 9]])</f>
        <v>514.32500000000005</v>
      </c>
      <c r="AB12" s="74">
        <f>+Tabla4[[#This Row],[LineaBase-FD]]/350</f>
        <v>1.4695</v>
      </c>
    </row>
    <row r="13" spans="1:28" x14ac:dyDescent="0.3">
      <c r="A13" s="29">
        <v>61734</v>
      </c>
      <c r="B13" s="2">
        <v>23595</v>
      </c>
      <c r="C13" s="2">
        <v>7704</v>
      </c>
      <c r="D13" s="2">
        <v>27739</v>
      </c>
      <c r="E13" s="2">
        <v>2694</v>
      </c>
      <c r="F13" s="77">
        <v>1.544</v>
      </c>
      <c r="G13" s="77">
        <v>1.4970000000000001</v>
      </c>
      <c r="H13" s="77">
        <v>1.4419999999999999</v>
      </c>
      <c r="I13" s="77">
        <v>1.417</v>
      </c>
      <c r="J13" s="2">
        <v>20953</v>
      </c>
      <c r="K13" s="9" t="s">
        <v>38</v>
      </c>
      <c r="L13" s="4">
        <v>45669</v>
      </c>
      <c r="M13" s="3">
        <v>0.95</v>
      </c>
      <c r="N13" s="22">
        <v>1.0109999999999999</v>
      </c>
      <c r="O13" s="22">
        <f>+MAX(Tabla4[[#This Row],[6KWA]:[9KWA]])</f>
        <v>1.544</v>
      </c>
      <c r="P13" s="3">
        <f t="shared" si="0"/>
        <v>12</v>
      </c>
      <c r="Q13" s="3">
        <f t="shared" si="1"/>
        <v>1</v>
      </c>
      <c r="R13" s="3">
        <f t="shared" si="2"/>
        <v>3</v>
      </c>
      <c r="S13" s="3" t="str">
        <f t="shared" si="3"/>
        <v>enero</v>
      </c>
      <c r="T13" s="21">
        <f t="shared" si="4"/>
        <v>540.4</v>
      </c>
      <c r="U13" s="21">
        <f t="shared" si="5"/>
        <v>523.95000000000005</v>
      </c>
      <c r="V13" s="21">
        <f t="shared" si="6"/>
        <v>504.7</v>
      </c>
      <c r="W13" s="21">
        <f>+Tabla4[[#This Row],[9KWA]]*350</f>
        <v>495.95</v>
      </c>
      <c r="X13" s="21">
        <f>350*Tabla4[[#This Row],[Max Factor Medido]]</f>
        <v>540.4</v>
      </c>
      <c r="Y13" s="39">
        <v>0.94</v>
      </c>
      <c r="Z13" s="3">
        <f t="shared" si="7"/>
        <v>2025</v>
      </c>
      <c r="AA13" s="74">
        <f>+MEDIAN(Tabla4[[#This Row],[kwreal 6]:[kwreal 9]])</f>
        <v>514.32500000000005</v>
      </c>
      <c r="AB13" s="74">
        <f>+Tabla4[[#This Row],[LineaBase-FD]]/350</f>
        <v>1.4695</v>
      </c>
    </row>
    <row r="14" spans="1:28" x14ac:dyDescent="0.3">
      <c r="A14" s="29">
        <v>61752</v>
      </c>
      <c r="B14" s="2">
        <v>23595</v>
      </c>
      <c r="C14" s="2">
        <v>7704</v>
      </c>
      <c r="D14" s="2">
        <v>27753</v>
      </c>
      <c r="E14" s="2">
        <v>2699</v>
      </c>
      <c r="F14" s="77">
        <v>1.544</v>
      </c>
      <c r="G14" s="77">
        <v>1.4970000000000001</v>
      </c>
      <c r="H14" s="77">
        <v>1.4419999999999999</v>
      </c>
      <c r="I14" s="77">
        <v>1.417</v>
      </c>
      <c r="J14" s="2">
        <v>20958</v>
      </c>
      <c r="K14" s="9" t="s">
        <v>31</v>
      </c>
      <c r="L14" s="4" t="s">
        <v>39</v>
      </c>
      <c r="M14" s="3">
        <v>0.94</v>
      </c>
      <c r="N14" s="67">
        <v>1.1379999999999999</v>
      </c>
      <c r="O14" s="22">
        <f>+MAX(Tabla4[[#This Row],[6KWA]:[9KWA]])</f>
        <v>1.544</v>
      </c>
      <c r="P14" s="3">
        <f t="shared" si="0"/>
        <v>13</v>
      </c>
      <c r="Q14" s="3">
        <f t="shared" si="1"/>
        <v>1</v>
      </c>
      <c r="R14" s="3">
        <f t="shared" si="2"/>
        <v>3</v>
      </c>
      <c r="S14" s="3" t="str">
        <f t="shared" si="3"/>
        <v>enero</v>
      </c>
      <c r="T14" s="21">
        <f t="shared" si="4"/>
        <v>540.4</v>
      </c>
      <c r="U14" s="21">
        <f t="shared" si="5"/>
        <v>523.95000000000005</v>
      </c>
      <c r="V14" s="21">
        <f t="shared" si="6"/>
        <v>504.7</v>
      </c>
      <c r="W14" s="21">
        <f>+Tabla4[[#This Row],[9KWA]]*350</f>
        <v>495.95</v>
      </c>
      <c r="X14" s="21">
        <f>350*Tabla4[[#This Row],[Max Factor Medido]]</f>
        <v>540.4</v>
      </c>
      <c r="Y14" s="39">
        <v>0.92</v>
      </c>
      <c r="Z14" s="3">
        <f t="shared" si="7"/>
        <v>2025</v>
      </c>
      <c r="AA14" s="74">
        <f>+MEDIAN(Tabla4[[#This Row],[kwreal 6]:[kwreal 9]])</f>
        <v>514.32500000000005</v>
      </c>
      <c r="AB14" s="74">
        <f>+Tabla4[[#This Row],[LineaBase-FD]]/350</f>
        <v>1.4695</v>
      </c>
    </row>
    <row r="15" spans="1:28" ht="15" customHeight="1" x14ac:dyDescent="0.3">
      <c r="A15" s="29">
        <v>61780</v>
      </c>
      <c r="B15" s="3">
        <v>23607</v>
      </c>
      <c r="C15" s="3">
        <v>7709</v>
      </c>
      <c r="D15" s="3">
        <v>27764</v>
      </c>
      <c r="E15" s="3">
        <v>2699</v>
      </c>
      <c r="F15" s="77">
        <v>1.544</v>
      </c>
      <c r="G15" s="77">
        <v>1.4970000000000001</v>
      </c>
      <c r="H15" s="77">
        <v>1.4419999999999999</v>
      </c>
      <c r="I15" s="77">
        <v>1.417</v>
      </c>
      <c r="J15" s="3">
        <v>20966</v>
      </c>
      <c r="K15" s="10" t="s">
        <v>34</v>
      </c>
      <c r="L15" s="1" t="s">
        <v>40</v>
      </c>
      <c r="M15" s="3">
        <v>0.95</v>
      </c>
      <c r="N15" s="67">
        <v>1.1339999999999999</v>
      </c>
      <c r="O15" s="22">
        <f>+MAX(Tabla4[[#This Row],[6KWA]:[9KWA]])</f>
        <v>1.544</v>
      </c>
      <c r="P15" s="3">
        <f t="shared" si="0"/>
        <v>14</v>
      </c>
      <c r="Q15" s="3">
        <f t="shared" si="1"/>
        <v>1</v>
      </c>
      <c r="R15" s="3">
        <f t="shared" si="2"/>
        <v>3</v>
      </c>
      <c r="S15" s="3" t="str">
        <f t="shared" si="3"/>
        <v>enero</v>
      </c>
      <c r="T15" s="21">
        <f t="shared" si="4"/>
        <v>540.4</v>
      </c>
      <c r="U15" s="21">
        <f t="shared" si="5"/>
        <v>523.95000000000005</v>
      </c>
      <c r="V15" s="21">
        <f t="shared" si="6"/>
        <v>504.7</v>
      </c>
      <c r="W15" s="21">
        <f>+Tabla4[[#This Row],[9KWA]]*350</f>
        <v>495.95</v>
      </c>
      <c r="X15" s="21">
        <f>350*Tabla4[[#This Row],[Max Factor Medido]]</f>
        <v>540.4</v>
      </c>
      <c r="Y15" s="39">
        <v>0.92</v>
      </c>
      <c r="Z15" s="3">
        <f t="shared" si="7"/>
        <v>2025</v>
      </c>
      <c r="AA15" s="74">
        <f>+MEDIAN(Tabla4[[#This Row],[kwreal 6]:[kwreal 9]])</f>
        <v>514.32500000000005</v>
      </c>
      <c r="AB15" s="74">
        <f>+Tabla4[[#This Row],[LineaBase-FD]]/350</f>
        <v>1.4695</v>
      </c>
    </row>
    <row r="16" spans="1:28" x14ac:dyDescent="0.3">
      <c r="A16" s="28">
        <v>61910</v>
      </c>
      <c r="B16" s="3">
        <v>23620</v>
      </c>
      <c r="C16" s="3">
        <v>7714</v>
      </c>
      <c r="D16" s="3">
        <v>27776</v>
      </c>
      <c r="E16" s="3">
        <v>2699</v>
      </c>
      <c r="F16" s="77">
        <v>1.544</v>
      </c>
      <c r="G16" s="77">
        <v>1.4970000000000001</v>
      </c>
      <c r="H16" s="77">
        <v>1.4419999999999999</v>
      </c>
      <c r="I16" s="77">
        <v>1.417</v>
      </c>
      <c r="J16" s="3">
        <v>20975</v>
      </c>
      <c r="K16" s="10" t="s">
        <v>41</v>
      </c>
      <c r="L16" s="1" t="s">
        <v>42</v>
      </c>
      <c r="M16" s="3">
        <v>0.97</v>
      </c>
      <c r="N16" s="67">
        <v>1.1220000000000001</v>
      </c>
      <c r="O16" s="22">
        <f>+MAX(Tabla4[[#This Row],[6KWA]:[9KWA]])</f>
        <v>1.544</v>
      </c>
      <c r="P16" s="3">
        <f t="shared" si="0"/>
        <v>15</v>
      </c>
      <c r="Q16" s="3">
        <f t="shared" si="1"/>
        <v>1</v>
      </c>
      <c r="R16" s="3">
        <f t="shared" si="2"/>
        <v>3</v>
      </c>
      <c r="S16" s="3" t="str">
        <f t="shared" si="3"/>
        <v>enero</v>
      </c>
      <c r="T16" s="21">
        <f t="shared" si="4"/>
        <v>540.4</v>
      </c>
      <c r="U16" s="21">
        <f t="shared" si="5"/>
        <v>523.95000000000005</v>
      </c>
      <c r="V16" s="21">
        <f t="shared" si="6"/>
        <v>504.7</v>
      </c>
      <c r="W16" s="21">
        <f>+Tabla4[[#This Row],[9KWA]]*350</f>
        <v>495.95</v>
      </c>
      <c r="X16" s="21">
        <f>350*Tabla4[[#This Row],[Max Factor Medido]]</f>
        <v>540.4</v>
      </c>
      <c r="Y16" s="39">
        <v>0.92</v>
      </c>
      <c r="Z16" s="3">
        <f t="shared" si="7"/>
        <v>2025</v>
      </c>
      <c r="AA16" s="74">
        <f>+MEDIAN(Tabla4[[#This Row],[kwreal 6]:[kwreal 9]])</f>
        <v>514.32500000000005</v>
      </c>
      <c r="AB16" s="74">
        <f>+Tabla4[[#This Row],[LineaBase-FD]]/350</f>
        <v>1.4695</v>
      </c>
    </row>
    <row r="17" spans="1:28" x14ac:dyDescent="0.3">
      <c r="A17" s="28">
        <v>61840</v>
      </c>
      <c r="B17" s="3">
        <v>23633</v>
      </c>
      <c r="C17" s="3">
        <v>7719</v>
      </c>
      <c r="D17" s="3">
        <v>27788</v>
      </c>
      <c r="E17" s="3">
        <v>2699</v>
      </c>
      <c r="F17" s="77">
        <v>1.544</v>
      </c>
      <c r="G17" s="77">
        <v>1.4970000000000001</v>
      </c>
      <c r="H17" s="77">
        <v>1.4419999999999999</v>
      </c>
      <c r="I17" s="77">
        <v>1.417</v>
      </c>
      <c r="J17" s="3">
        <v>20984</v>
      </c>
      <c r="K17" s="10" t="s">
        <v>43</v>
      </c>
      <c r="L17" s="1" t="s">
        <v>44</v>
      </c>
      <c r="M17" s="3">
        <v>0.96</v>
      </c>
      <c r="N17" s="67">
        <v>1.111</v>
      </c>
      <c r="O17" s="22">
        <f>+MAX(Tabla4[[#This Row],[6KWA]:[9KWA]])</f>
        <v>1.544</v>
      </c>
      <c r="P17" s="3">
        <f t="shared" si="0"/>
        <v>16</v>
      </c>
      <c r="Q17" s="3">
        <f t="shared" si="1"/>
        <v>1</v>
      </c>
      <c r="R17" s="3">
        <f t="shared" si="2"/>
        <v>3</v>
      </c>
      <c r="S17" s="3" t="str">
        <f t="shared" si="3"/>
        <v>enero</v>
      </c>
      <c r="T17" s="21">
        <f t="shared" si="4"/>
        <v>540.4</v>
      </c>
      <c r="U17" s="21">
        <f t="shared" si="5"/>
        <v>523.95000000000005</v>
      </c>
      <c r="V17" s="21">
        <f t="shared" si="6"/>
        <v>504.7</v>
      </c>
      <c r="W17" s="21">
        <f>+Tabla4[[#This Row],[9KWA]]*350</f>
        <v>495.95</v>
      </c>
      <c r="X17" s="21">
        <f>350*Tabla4[[#This Row],[Max Factor Medido]]</f>
        <v>540.4</v>
      </c>
      <c r="Y17" s="39">
        <v>0.92</v>
      </c>
      <c r="Z17" s="3">
        <f t="shared" si="7"/>
        <v>2025</v>
      </c>
      <c r="AA17" s="74">
        <f>+MEDIAN(Tabla4[[#This Row],[kwreal 6]:[kwreal 9]])</f>
        <v>514.32500000000005</v>
      </c>
      <c r="AB17" s="74">
        <f>+Tabla4[[#This Row],[LineaBase-FD]]/350</f>
        <v>1.4695</v>
      </c>
    </row>
    <row r="18" spans="1:28" x14ac:dyDescent="0.3">
      <c r="A18" s="28">
        <v>61869</v>
      </c>
      <c r="B18" s="2">
        <v>23645</v>
      </c>
      <c r="C18" s="2">
        <v>7724</v>
      </c>
      <c r="D18" s="3">
        <v>27800</v>
      </c>
      <c r="E18" s="3">
        <v>2699</v>
      </c>
      <c r="F18" s="77">
        <v>1.544</v>
      </c>
      <c r="G18" s="77">
        <v>1.4970000000000001</v>
      </c>
      <c r="H18" s="77">
        <v>1.4419999999999999</v>
      </c>
      <c r="I18" s="77">
        <v>1.417</v>
      </c>
      <c r="J18" s="3">
        <v>20592</v>
      </c>
      <c r="K18" s="10" t="s">
        <v>45</v>
      </c>
      <c r="L18" s="1" t="s">
        <v>46</v>
      </c>
      <c r="M18" s="3">
        <v>0.96</v>
      </c>
      <c r="N18" s="67">
        <v>1.129</v>
      </c>
      <c r="O18" s="22">
        <f>+MAX(Tabla4[[#This Row],[6KWA]:[9KWA]])</f>
        <v>1.544</v>
      </c>
      <c r="P18" s="3">
        <f t="shared" si="0"/>
        <v>17</v>
      </c>
      <c r="Q18" s="3">
        <f t="shared" si="1"/>
        <v>1</v>
      </c>
      <c r="R18" s="3">
        <f t="shared" si="2"/>
        <v>3</v>
      </c>
      <c r="S18" s="3" t="str">
        <f t="shared" si="3"/>
        <v>enero</v>
      </c>
      <c r="T18" s="21">
        <f t="shared" si="4"/>
        <v>540.4</v>
      </c>
      <c r="U18" s="21">
        <f t="shared" si="5"/>
        <v>523.95000000000005</v>
      </c>
      <c r="V18" s="21">
        <f t="shared" si="6"/>
        <v>504.7</v>
      </c>
      <c r="W18" s="21">
        <f>+Tabla4[[#This Row],[9KWA]]*350</f>
        <v>495.95</v>
      </c>
      <c r="X18" s="21">
        <f>350*Tabla4[[#This Row],[Max Factor Medido]]</f>
        <v>540.4</v>
      </c>
      <c r="Y18" s="39">
        <v>0.92</v>
      </c>
      <c r="Z18" s="3">
        <f t="shared" si="7"/>
        <v>2025</v>
      </c>
      <c r="AA18" s="74">
        <f>+MEDIAN(Tabla4[[#This Row],[kwreal 6]:[kwreal 9]])</f>
        <v>514.32500000000005</v>
      </c>
      <c r="AB18" s="74">
        <f>+Tabla4[[#This Row],[LineaBase-FD]]/350</f>
        <v>1.4695</v>
      </c>
    </row>
    <row r="19" spans="1:28" x14ac:dyDescent="0.3">
      <c r="A19" s="29">
        <v>61898</v>
      </c>
      <c r="B19" s="2">
        <v>23658</v>
      </c>
      <c r="C19" s="2">
        <v>7729</v>
      </c>
      <c r="D19" s="2">
        <v>27810</v>
      </c>
      <c r="E19" s="2">
        <v>2699</v>
      </c>
      <c r="F19" s="77">
        <v>1.544</v>
      </c>
      <c r="G19" s="77">
        <v>1.4970000000000001</v>
      </c>
      <c r="H19" s="77">
        <v>1.4419999999999999</v>
      </c>
      <c r="I19" s="77">
        <v>1.417</v>
      </c>
      <c r="J19" s="2">
        <v>21001</v>
      </c>
      <c r="K19" s="9" t="s">
        <v>47</v>
      </c>
      <c r="L19" s="4" t="s">
        <v>48</v>
      </c>
      <c r="M19" s="3">
        <v>0.95</v>
      </c>
      <c r="N19" s="67">
        <v>1.1579999999999999</v>
      </c>
      <c r="O19" s="22">
        <f>+MAX(Tabla4[[#This Row],[6KWA]:[9KWA]])</f>
        <v>1.544</v>
      </c>
      <c r="P19" s="3">
        <f t="shared" si="0"/>
        <v>18</v>
      </c>
      <c r="Q19" s="3">
        <f t="shared" si="1"/>
        <v>1</v>
      </c>
      <c r="R19" s="3">
        <f t="shared" si="2"/>
        <v>3</v>
      </c>
      <c r="S19" s="3" t="str">
        <f t="shared" si="3"/>
        <v>enero</v>
      </c>
      <c r="T19" s="21">
        <f t="shared" si="4"/>
        <v>540.4</v>
      </c>
      <c r="U19" s="21">
        <f t="shared" si="5"/>
        <v>523.95000000000005</v>
      </c>
      <c r="V19" s="21">
        <f t="shared" si="6"/>
        <v>504.7</v>
      </c>
      <c r="W19" s="21">
        <f>+Tabla4[[#This Row],[9KWA]]*350</f>
        <v>495.95</v>
      </c>
      <c r="X19" s="21">
        <f>350*Tabla4[[#This Row],[Max Factor Medido]]</f>
        <v>540.4</v>
      </c>
      <c r="Y19" s="39">
        <v>0.92</v>
      </c>
      <c r="Z19" s="3">
        <f t="shared" si="7"/>
        <v>2025</v>
      </c>
      <c r="AA19" s="74">
        <f>+MEDIAN(Tabla4[[#This Row],[kwreal 6]:[kwreal 9]])</f>
        <v>514.32500000000005</v>
      </c>
      <c r="AB19" s="74">
        <f>+Tabla4[[#This Row],[LineaBase-FD]]/350</f>
        <v>1.4695</v>
      </c>
    </row>
    <row r="20" spans="1:28" x14ac:dyDescent="0.3">
      <c r="A20" s="29">
        <v>61928</v>
      </c>
      <c r="B20" s="3">
        <v>23658</v>
      </c>
      <c r="C20" s="3">
        <v>7729</v>
      </c>
      <c r="D20" s="2">
        <v>27836</v>
      </c>
      <c r="E20" s="2">
        <v>2703</v>
      </c>
      <c r="F20" s="77">
        <v>1.544</v>
      </c>
      <c r="G20" s="77">
        <v>1.4970000000000001</v>
      </c>
      <c r="H20" s="77">
        <v>1.4419999999999999</v>
      </c>
      <c r="I20" s="77">
        <v>1.417</v>
      </c>
      <c r="J20" s="2">
        <v>21010</v>
      </c>
      <c r="K20" s="9" t="s">
        <v>49</v>
      </c>
      <c r="L20" s="4" t="s">
        <v>50</v>
      </c>
      <c r="M20" s="3">
        <v>0.96</v>
      </c>
      <c r="N20" s="67">
        <v>1.1100000000000001</v>
      </c>
      <c r="O20" s="22">
        <f>+MAX(Tabla4[[#This Row],[6KWA]:[9KWA]])</f>
        <v>1.544</v>
      </c>
      <c r="P20" s="3">
        <f t="shared" si="0"/>
        <v>19</v>
      </c>
      <c r="Q20" s="3">
        <f t="shared" si="1"/>
        <v>1</v>
      </c>
      <c r="R20" s="3">
        <f t="shared" si="2"/>
        <v>4</v>
      </c>
      <c r="S20" s="3" t="str">
        <f t="shared" si="3"/>
        <v>enero</v>
      </c>
      <c r="T20" s="21">
        <f t="shared" si="4"/>
        <v>540.4</v>
      </c>
      <c r="U20" s="21">
        <f t="shared" si="5"/>
        <v>523.95000000000005</v>
      </c>
      <c r="V20" s="21">
        <f t="shared" si="6"/>
        <v>504.7</v>
      </c>
      <c r="W20" s="21">
        <f>+Tabla4[[#This Row],[9KWA]]*350</f>
        <v>495.95</v>
      </c>
      <c r="X20" s="21">
        <f>350*Tabla4[[#This Row],[Max Factor Medido]]</f>
        <v>540.4</v>
      </c>
      <c r="Y20" s="39">
        <v>0.92</v>
      </c>
      <c r="Z20" s="3">
        <f t="shared" si="7"/>
        <v>2025</v>
      </c>
      <c r="AA20" s="74">
        <f>+MEDIAN(Tabla4[[#This Row],[kwreal 6]:[kwreal 9]])</f>
        <v>514.32500000000005</v>
      </c>
      <c r="AB20" s="74">
        <f>+Tabla4[[#This Row],[LineaBase-FD]]/350</f>
        <v>1.4695</v>
      </c>
    </row>
    <row r="21" spans="1:28" x14ac:dyDescent="0.3">
      <c r="A21" s="28">
        <v>61959</v>
      </c>
      <c r="B21" s="3">
        <v>23658</v>
      </c>
      <c r="C21" s="3">
        <v>7729</v>
      </c>
      <c r="D21" s="3">
        <v>27855</v>
      </c>
      <c r="E21" s="3">
        <v>2708</v>
      </c>
      <c r="F21" s="77">
        <v>1.544</v>
      </c>
      <c r="G21" s="77">
        <v>1.4970000000000001</v>
      </c>
      <c r="H21" s="77">
        <v>1.4419999999999999</v>
      </c>
      <c r="I21" s="77">
        <v>1.417</v>
      </c>
      <c r="J21" s="3">
        <v>21019</v>
      </c>
      <c r="K21" s="10" t="s">
        <v>51</v>
      </c>
      <c r="L21" s="1" t="s">
        <v>52</v>
      </c>
      <c r="M21" s="3">
        <v>0.96</v>
      </c>
      <c r="N21" s="67">
        <v>1.169</v>
      </c>
      <c r="O21" s="22">
        <f>+MAX(Tabla4[[#This Row],[6KWA]:[9KWA]])</f>
        <v>1.544</v>
      </c>
      <c r="P21" s="3">
        <f t="shared" si="0"/>
        <v>20</v>
      </c>
      <c r="Q21" s="3">
        <f t="shared" si="1"/>
        <v>1</v>
      </c>
      <c r="R21" s="3">
        <f t="shared" si="2"/>
        <v>4</v>
      </c>
      <c r="S21" s="3" t="str">
        <f t="shared" si="3"/>
        <v>enero</v>
      </c>
      <c r="T21" s="21">
        <f t="shared" si="4"/>
        <v>540.4</v>
      </c>
      <c r="U21" s="21">
        <f t="shared" si="5"/>
        <v>523.95000000000005</v>
      </c>
      <c r="V21" s="21">
        <f t="shared" si="6"/>
        <v>504.7</v>
      </c>
      <c r="W21" s="21">
        <f>+Tabla4[[#This Row],[9KWA]]*350</f>
        <v>495.95</v>
      </c>
      <c r="X21" s="21">
        <f>350*Tabla4[[#This Row],[Max Factor Medido]]</f>
        <v>540.4</v>
      </c>
      <c r="Y21" s="39">
        <v>0.92</v>
      </c>
      <c r="Z21" s="3">
        <f t="shared" si="7"/>
        <v>2025</v>
      </c>
      <c r="AA21" s="74">
        <f>+MEDIAN(Tabla4[[#This Row],[kwreal 6]:[kwreal 9]])</f>
        <v>514.32500000000005</v>
      </c>
      <c r="AB21" s="74">
        <f>+Tabla4[[#This Row],[LineaBase-FD]]/350</f>
        <v>1.4695</v>
      </c>
    </row>
    <row r="22" spans="1:28" ht="15" customHeight="1" x14ac:dyDescent="0.3">
      <c r="A22" s="28">
        <v>61987</v>
      </c>
      <c r="B22" s="3">
        <v>23673</v>
      </c>
      <c r="C22" s="3">
        <v>7734</v>
      </c>
      <c r="D22" s="3">
        <v>27871</v>
      </c>
      <c r="E22" s="3">
        <v>2708</v>
      </c>
      <c r="F22" s="77">
        <v>1.544</v>
      </c>
      <c r="G22" s="77">
        <v>1.4970000000000001</v>
      </c>
      <c r="H22" s="77">
        <v>1.4419999999999999</v>
      </c>
      <c r="I22" s="77">
        <v>1.417</v>
      </c>
      <c r="J22" s="3">
        <v>21028</v>
      </c>
      <c r="K22" s="10" t="s">
        <v>53</v>
      </c>
      <c r="L22" s="1" t="s">
        <v>54</v>
      </c>
      <c r="M22" s="3">
        <v>0.95</v>
      </c>
      <c r="N22" s="67">
        <v>1.1759999999999999</v>
      </c>
      <c r="O22" s="22">
        <f>+MAX(Tabla4[[#This Row],[6KWA]:[9KWA]])</f>
        <v>1.544</v>
      </c>
      <c r="P22" s="3">
        <f t="shared" si="0"/>
        <v>21</v>
      </c>
      <c r="Q22" s="3">
        <f t="shared" si="1"/>
        <v>1</v>
      </c>
      <c r="R22" s="3">
        <f t="shared" si="2"/>
        <v>4</v>
      </c>
      <c r="S22" s="3" t="str">
        <f t="shared" si="3"/>
        <v>enero</v>
      </c>
      <c r="T22" s="21">
        <f t="shared" si="4"/>
        <v>540.4</v>
      </c>
      <c r="U22" s="21">
        <f t="shared" si="5"/>
        <v>523.95000000000005</v>
      </c>
      <c r="V22" s="21">
        <f t="shared" si="6"/>
        <v>504.7</v>
      </c>
      <c r="W22" s="21">
        <f>+Tabla4[[#This Row],[9KWA]]*350</f>
        <v>495.95</v>
      </c>
      <c r="X22" s="21">
        <f>350*Tabla4[[#This Row],[Max Factor Medido]]</f>
        <v>540.4</v>
      </c>
      <c r="Y22" s="39">
        <v>0.92</v>
      </c>
      <c r="Z22" s="3">
        <f t="shared" si="7"/>
        <v>2025</v>
      </c>
      <c r="AA22" s="74">
        <f>+MEDIAN(Tabla4[[#This Row],[kwreal 6]:[kwreal 9]])</f>
        <v>514.32500000000005</v>
      </c>
      <c r="AB22" s="74">
        <f>+Tabla4[[#This Row],[LineaBase-FD]]/350</f>
        <v>1.4695</v>
      </c>
    </row>
    <row r="23" spans="1:28" x14ac:dyDescent="0.3">
      <c r="A23" s="28">
        <v>62014</v>
      </c>
      <c r="B23" s="3">
        <v>23684</v>
      </c>
      <c r="C23" s="3">
        <v>7739</v>
      </c>
      <c r="D23" s="3">
        <v>27881</v>
      </c>
      <c r="E23" s="3">
        <v>2708</v>
      </c>
      <c r="F23" s="77">
        <v>1.544</v>
      </c>
      <c r="G23" s="77">
        <v>1.5109999999999999</v>
      </c>
      <c r="H23" s="77">
        <v>1.4419999999999999</v>
      </c>
      <c r="I23" s="77">
        <v>1.417</v>
      </c>
      <c r="J23" s="3">
        <v>21037</v>
      </c>
      <c r="K23" s="10" t="s">
        <v>55</v>
      </c>
      <c r="L23" s="1" t="s">
        <v>56</v>
      </c>
      <c r="M23" s="3">
        <v>0.94</v>
      </c>
      <c r="N23" s="67">
        <v>1.173</v>
      </c>
      <c r="O23" s="22">
        <f>+MAX(Tabla4[[#This Row],[6KWA]:[9KWA]])</f>
        <v>1.544</v>
      </c>
      <c r="P23" s="3">
        <f t="shared" si="0"/>
        <v>22</v>
      </c>
      <c r="Q23" s="3">
        <f t="shared" si="1"/>
        <v>1</v>
      </c>
      <c r="R23" s="3">
        <f t="shared" si="2"/>
        <v>4</v>
      </c>
      <c r="S23" s="3" t="str">
        <f t="shared" si="3"/>
        <v>enero</v>
      </c>
      <c r="T23" s="21">
        <f t="shared" si="4"/>
        <v>540.4</v>
      </c>
      <c r="U23" s="21">
        <f t="shared" si="5"/>
        <v>528.84999999999991</v>
      </c>
      <c r="V23" s="21">
        <f t="shared" si="6"/>
        <v>504.7</v>
      </c>
      <c r="W23" s="21">
        <f>+Tabla4[[#This Row],[9KWA]]*350</f>
        <v>495.95</v>
      </c>
      <c r="X23" s="21">
        <f>350*Tabla4[[#This Row],[Max Factor Medido]]</f>
        <v>540.4</v>
      </c>
      <c r="Y23" s="39">
        <v>0.92</v>
      </c>
      <c r="Z23" s="3">
        <f t="shared" si="7"/>
        <v>2025</v>
      </c>
      <c r="AA23" s="74">
        <f>+MEDIAN(Tabla4[[#This Row],[kwreal 6]:[kwreal 9]])</f>
        <v>516.77499999999998</v>
      </c>
      <c r="AB23" s="74">
        <f>+Tabla4[[#This Row],[LineaBase-FD]]/350</f>
        <v>1.4764999999999999</v>
      </c>
    </row>
    <row r="24" spans="1:28" x14ac:dyDescent="0.3">
      <c r="A24" s="28">
        <v>62094</v>
      </c>
      <c r="B24" s="3">
        <v>23698</v>
      </c>
      <c r="C24" s="3">
        <v>7744</v>
      </c>
      <c r="D24" s="3">
        <v>27893</v>
      </c>
      <c r="E24" s="3">
        <v>2708</v>
      </c>
      <c r="F24" s="77">
        <v>1.544</v>
      </c>
      <c r="G24" s="77">
        <v>1.5109999999999999</v>
      </c>
      <c r="H24" s="77">
        <v>1.4419999999999999</v>
      </c>
      <c r="I24" s="77">
        <v>1.417</v>
      </c>
      <c r="J24" s="3">
        <v>21034</v>
      </c>
      <c r="K24" s="10" t="s">
        <v>57</v>
      </c>
      <c r="L24" s="1" t="s">
        <v>58</v>
      </c>
      <c r="M24" s="3">
        <v>0.95</v>
      </c>
      <c r="N24" s="67">
        <v>1.06</v>
      </c>
      <c r="O24" s="22">
        <f>+MAX(Tabla4[[#This Row],[6KWA]:[9KWA]])</f>
        <v>1.544</v>
      </c>
      <c r="P24" s="3">
        <f t="shared" si="0"/>
        <v>23</v>
      </c>
      <c r="Q24" s="3">
        <f t="shared" si="1"/>
        <v>1</v>
      </c>
      <c r="R24" s="3">
        <f t="shared" si="2"/>
        <v>4</v>
      </c>
      <c r="S24" s="3" t="str">
        <f t="shared" si="3"/>
        <v>enero</v>
      </c>
      <c r="T24" s="21">
        <f t="shared" si="4"/>
        <v>540.4</v>
      </c>
      <c r="U24" s="21">
        <f t="shared" si="5"/>
        <v>528.84999999999991</v>
      </c>
      <c r="V24" s="21">
        <f t="shared" si="6"/>
        <v>504.7</v>
      </c>
      <c r="W24" s="21">
        <f>+Tabla4[[#This Row],[9KWA]]*350</f>
        <v>495.95</v>
      </c>
      <c r="X24" s="21">
        <f>350*Tabla4[[#This Row],[Max Factor Medido]]</f>
        <v>540.4</v>
      </c>
      <c r="Y24" s="39">
        <v>0.92</v>
      </c>
      <c r="Z24" s="3">
        <f t="shared" si="7"/>
        <v>2025</v>
      </c>
      <c r="AA24" s="74">
        <f>+MEDIAN(Tabla4[[#This Row],[kwreal 6]:[kwreal 9]])</f>
        <v>516.77499999999998</v>
      </c>
      <c r="AB24" s="74">
        <f>+Tabla4[[#This Row],[LineaBase-FD]]/350</f>
        <v>1.4764999999999999</v>
      </c>
    </row>
    <row r="25" spans="1:28" x14ac:dyDescent="0.3">
      <c r="A25" s="28">
        <v>62073</v>
      </c>
      <c r="B25" s="3">
        <v>23710</v>
      </c>
      <c r="C25" s="3">
        <v>7749</v>
      </c>
      <c r="D25" s="3">
        <v>27905</v>
      </c>
      <c r="E25" s="3">
        <v>2708</v>
      </c>
      <c r="F25" s="77">
        <v>1.544</v>
      </c>
      <c r="G25" s="77">
        <v>1.5109999999999999</v>
      </c>
      <c r="H25" s="77">
        <v>1.4419999999999999</v>
      </c>
      <c r="I25" s="77">
        <v>1.417</v>
      </c>
      <c r="J25" s="3">
        <v>21054</v>
      </c>
      <c r="K25" s="10" t="s">
        <v>57</v>
      </c>
      <c r="L25" s="1" t="s">
        <v>59</v>
      </c>
      <c r="M25" s="3">
        <v>0.95</v>
      </c>
      <c r="N25" s="67">
        <v>1.101</v>
      </c>
      <c r="O25" s="22">
        <f>+MAX(Tabla4[[#This Row],[6KWA]:[9KWA]])</f>
        <v>1.544</v>
      </c>
      <c r="P25" s="3">
        <f t="shared" si="0"/>
        <v>24</v>
      </c>
      <c r="Q25" s="3">
        <f t="shared" si="1"/>
        <v>1</v>
      </c>
      <c r="R25" s="3">
        <f t="shared" si="2"/>
        <v>4</v>
      </c>
      <c r="S25" s="3" t="str">
        <f t="shared" si="3"/>
        <v>enero</v>
      </c>
      <c r="T25" s="21">
        <f t="shared" si="4"/>
        <v>540.4</v>
      </c>
      <c r="U25" s="21">
        <f t="shared" si="5"/>
        <v>528.84999999999991</v>
      </c>
      <c r="V25" s="21">
        <f t="shared" si="6"/>
        <v>504.7</v>
      </c>
      <c r="W25" s="21">
        <f>+Tabla4[[#This Row],[9KWA]]*350</f>
        <v>495.95</v>
      </c>
      <c r="X25" s="21">
        <f>350*Tabla4[[#This Row],[Max Factor Medido]]</f>
        <v>540.4</v>
      </c>
      <c r="Y25" s="39">
        <v>0.92</v>
      </c>
      <c r="Z25" s="3">
        <f t="shared" si="7"/>
        <v>2025</v>
      </c>
      <c r="AA25" s="74">
        <f>+MEDIAN(Tabla4[[#This Row],[kwreal 6]:[kwreal 9]])</f>
        <v>516.77499999999998</v>
      </c>
      <c r="AB25" s="74">
        <f>+Tabla4[[#This Row],[LineaBase-FD]]/350</f>
        <v>1.4764999999999999</v>
      </c>
    </row>
    <row r="26" spans="1:28" x14ac:dyDescent="0.3">
      <c r="A26" s="28">
        <v>62110</v>
      </c>
      <c r="B26" s="3">
        <v>23724</v>
      </c>
      <c r="C26" s="3">
        <v>7754</v>
      </c>
      <c r="D26" s="3">
        <v>27923</v>
      </c>
      <c r="E26" s="3">
        <v>2708</v>
      </c>
      <c r="F26" s="77">
        <v>1.544</v>
      </c>
      <c r="G26" s="77">
        <v>1.5109999999999999</v>
      </c>
      <c r="H26" s="77">
        <v>1.488</v>
      </c>
      <c r="I26" s="77">
        <v>1.417</v>
      </c>
      <c r="J26" s="3">
        <v>21066</v>
      </c>
      <c r="K26" s="10" t="s">
        <v>60</v>
      </c>
      <c r="L26" s="1" t="s">
        <v>61</v>
      </c>
      <c r="M26" s="3">
        <v>0.94</v>
      </c>
      <c r="N26" s="67">
        <v>1.35</v>
      </c>
      <c r="O26" s="22">
        <f>+MAX(Tabla4[[#This Row],[6KWA]:[9KWA]])</f>
        <v>1.544</v>
      </c>
      <c r="P26" s="3">
        <f t="shared" si="0"/>
        <v>25</v>
      </c>
      <c r="Q26" s="3">
        <f t="shared" si="1"/>
        <v>1</v>
      </c>
      <c r="R26" s="3">
        <f t="shared" si="2"/>
        <v>4</v>
      </c>
      <c r="S26" s="3" t="str">
        <f t="shared" si="3"/>
        <v>enero</v>
      </c>
      <c r="T26" s="21">
        <f t="shared" si="4"/>
        <v>540.4</v>
      </c>
      <c r="U26" s="21">
        <f t="shared" si="5"/>
        <v>528.84999999999991</v>
      </c>
      <c r="V26" s="21">
        <f t="shared" si="6"/>
        <v>520.79999999999995</v>
      </c>
      <c r="W26" s="21">
        <f>+Tabla4[[#This Row],[9KWA]]*350</f>
        <v>495.95</v>
      </c>
      <c r="X26" s="21">
        <f>350*Tabla4[[#This Row],[Max Factor Medido]]</f>
        <v>540.4</v>
      </c>
      <c r="Y26" s="39">
        <v>0.92</v>
      </c>
      <c r="Z26" s="3">
        <f t="shared" si="7"/>
        <v>2025</v>
      </c>
      <c r="AA26" s="74">
        <f>+MEDIAN(Tabla4[[#This Row],[kwreal 6]:[kwreal 9]])</f>
        <v>524.82499999999993</v>
      </c>
      <c r="AB26" s="74">
        <f>+Tabla4[[#This Row],[LineaBase-FD]]/350</f>
        <v>1.4994999999999998</v>
      </c>
    </row>
    <row r="27" spans="1:28" x14ac:dyDescent="0.3">
      <c r="A27" s="28">
        <v>62144</v>
      </c>
      <c r="B27" s="3">
        <v>23724</v>
      </c>
      <c r="C27" s="3">
        <v>7754</v>
      </c>
      <c r="D27" s="3">
        <v>27951</v>
      </c>
      <c r="E27" s="3">
        <v>2713</v>
      </c>
      <c r="F27" s="77">
        <v>1.544</v>
      </c>
      <c r="G27" s="77">
        <v>1.5109999999999999</v>
      </c>
      <c r="H27" s="77">
        <v>1.5880000000000001</v>
      </c>
      <c r="I27" s="77">
        <v>1.466</v>
      </c>
      <c r="J27" s="3">
        <v>21077</v>
      </c>
      <c r="K27" s="10" t="s">
        <v>62</v>
      </c>
      <c r="L27" s="1" t="s">
        <v>63</v>
      </c>
      <c r="M27" s="3">
        <v>0.94</v>
      </c>
      <c r="N27" s="67">
        <v>1.4039999999999999</v>
      </c>
      <c r="O27" s="22">
        <f>+MAX(Tabla4[[#This Row],[6KWA]:[9KWA]])</f>
        <v>1.5880000000000001</v>
      </c>
      <c r="P27" s="3">
        <f t="shared" si="0"/>
        <v>26</v>
      </c>
      <c r="Q27" s="3">
        <f t="shared" si="1"/>
        <v>1</v>
      </c>
      <c r="R27" s="3">
        <f t="shared" si="2"/>
        <v>5</v>
      </c>
      <c r="S27" s="3" t="str">
        <f t="shared" si="3"/>
        <v>enero</v>
      </c>
      <c r="T27" s="21">
        <f t="shared" si="4"/>
        <v>540.4</v>
      </c>
      <c r="U27" s="21">
        <f t="shared" si="5"/>
        <v>528.84999999999991</v>
      </c>
      <c r="V27" s="21">
        <f t="shared" si="6"/>
        <v>555.80000000000007</v>
      </c>
      <c r="W27" s="21">
        <f>+Tabla4[[#This Row],[9KWA]]*350</f>
        <v>513.1</v>
      </c>
      <c r="X27" s="21">
        <f>350*Tabla4[[#This Row],[Max Factor Medido]]</f>
        <v>555.80000000000007</v>
      </c>
      <c r="Y27" s="39">
        <v>0.92</v>
      </c>
      <c r="Z27" s="3">
        <f t="shared" si="7"/>
        <v>2025</v>
      </c>
      <c r="AA27" s="74">
        <f>+MEDIAN(Tabla4[[#This Row],[kwreal 6]:[kwreal 9]])</f>
        <v>534.625</v>
      </c>
      <c r="AB27" s="74">
        <f>+Tabla4[[#This Row],[LineaBase-FD]]/350</f>
        <v>1.5275000000000001</v>
      </c>
    </row>
    <row r="28" spans="1:28" x14ac:dyDescent="0.3">
      <c r="A28" s="28">
        <v>62164</v>
      </c>
      <c r="B28" s="3">
        <v>23724</v>
      </c>
      <c r="C28" s="3">
        <v>7754</v>
      </c>
      <c r="D28" s="3">
        <v>27966</v>
      </c>
      <c r="E28" s="3">
        <v>2719</v>
      </c>
      <c r="F28" s="77">
        <v>1.544</v>
      </c>
      <c r="G28" s="77">
        <v>1.5109999999999999</v>
      </c>
      <c r="H28" s="77">
        <v>1.538</v>
      </c>
      <c r="I28" s="77">
        <v>1.466</v>
      </c>
      <c r="J28" s="3">
        <v>21083</v>
      </c>
      <c r="K28" s="10" t="s">
        <v>64</v>
      </c>
      <c r="L28" s="1" t="s">
        <v>65</v>
      </c>
      <c r="M28" s="3">
        <v>0.94</v>
      </c>
      <c r="N28" s="67">
        <v>1.2310000000000001</v>
      </c>
      <c r="O28" s="22">
        <f>+MAX(Tabla4[[#This Row],[6KWA]:[9KWA]])</f>
        <v>1.544</v>
      </c>
      <c r="P28" s="3">
        <f t="shared" si="0"/>
        <v>27</v>
      </c>
      <c r="Q28" s="3">
        <f t="shared" si="1"/>
        <v>1</v>
      </c>
      <c r="R28" s="3">
        <f t="shared" si="2"/>
        <v>5</v>
      </c>
      <c r="S28" s="3" t="str">
        <f t="shared" si="3"/>
        <v>enero</v>
      </c>
      <c r="T28" s="21">
        <f t="shared" si="4"/>
        <v>540.4</v>
      </c>
      <c r="U28" s="21">
        <f t="shared" si="5"/>
        <v>528.84999999999991</v>
      </c>
      <c r="V28" s="21">
        <f t="shared" si="6"/>
        <v>538.30000000000007</v>
      </c>
      <c r="W28" s="21">
        <f>+Tabla4[[#This Row],[9KWA]]*350</f>
        <v>513.1</v>
      </c>
      <c r="X28" s="21">
        <f>350*Tabla4[[#This Row],[Max Factor Medido]]</f>
        <v>540.4</v>
      </c>
      <c r="Y28" s="39">
        <v>0.92</v>
      </c>
      <c r="Z28" s="3">
        <f t="shared" si="7"/>
        <v>2025</v>
      </c>
      <c r="AA28" s="74">
        <f>+MEDIAN(Tabla4[[#This Row],[kwreal 6]:[kwreal 9]])</f>
        <v>533.57500000000005</v>
      </c>
      <c r="AB28" s="74">
        <f>+Tabla4[[#This Row],[LineaBase-FD]]/350</f>
        <v>1.5245000000000002</v>
      </c>
    </row>
    <row r="29" spans="1:28" x14ac:dyDescent="0.3">
      <c r="A29" s="28">
        <v>62195</v>
      </c>
      <c r="B29" s="3">
        <v>23737</v>
      </c>
      <c r="C29" s="3">
        <v>7759</v>
      </c>
      <c r="D29" s="3">
        <v>27979</v>
      </c>
      <c r="E29" s="3">
        <v>2719</v>
      </c>
      <c r="F29" s="77">
        <v>1.544</v>
      </c>
      <c r="G29" s="77">
        <v>1.5109999999999999</v>
      </c>
      <c r="H29" s="77">
        <v>1.538</v>
      </c>
      <c r="I29" s="77">
        <v>1.466</v>
      </c>
      <c r="J29" s="3">
        <v>21092</v>
      </c>
      <c r="K29" s="10" t="s">
        <v>66</v>
      </c>
      <c r="L29" s="1" t="s">
        <v>67</v>
      </c>
      <c r="M29" s="3">
        <v>0.92</v>
      </c>
      <c r="N29" s="67">
        <v>1.29</v>
      </c>
      <c r="O29" s="22">
        <f>+MAX(Tabla4[[#This Row],[6KWA]:[9KWA]])</f>
        <v>1.544</v>
      </c>
      <c r="P29" s="3">
        <f t="shared" si="0"/>
        <v>28</v>
      </c>
      <c r="Q29" s="3">
        <f t="shared" si="1"/>
        <v>1</v>
      </c>
      <c r="R29" s="3">
        <f t="shared" si="2"/>
        <v>5</v>
      </c>
      <c r="S29" s="3" t="str">
        <f t="shared" si="3"/>
        <v>enero</v>
      </c>
      <c r="T29" s="21">
        <f t="shared" si="4"/>
        <v>540.4</v>
      </c>
      <c r="U29" s="21">
        <f t="shared" si="5"/>
        <v>528.84999999999991</v>
      </c>
      <c r="V29" s="21">
        <f t="shared" si="6"/>
        <v>538.30000000000007</v>
      </c>
      <c r="W29" s="21">
        <f>+Tabla4[[#This Row],[9KWA]]*350</f>
        <v>513.1</v>
      </c>
      <c r="X29" s="21">
        <f>350*Tabla4[[#This Row],[Max Factor Medido]]</f>
        <v>540.4</v>
      </c>
      <c r="Y29" s="39">
        <v>0.92</v>
      </c>
      <c r="Z29" s="3">
        <f t="shared" si="7"/>
        <v>2025</v>
      </c>
      <c r="AA29" s="74">
        <f>+MEDIAN(Tabla4[[#This Row],[kwreal 6]:[kwreal 9]])</f>
        <v>533.57500000000005</v>
      </c>
      <c r="AB29" s="74">
        <f>+Tabla4[[#This Row],[LineaBase-FD]]/350</f>
        <v>1.5245000000000002</v>
      </c>
    </row>
    <row r="30" spans="1:28" x14ac:dyDescent="0.3">
      <c r="A30" s="28">
        <v>62225</v>
      </c>
      <c r="B30" s="3">
        <v>23750</v>
      </c>
      <c r="C30" s="3">
        <v>7764</v>
      </c>
      <c r="D30" s="3">
        <v>27990</v>
      </c>
      <c r="E30" s="3">
        <v>2719</v>
      </c>
      <c r="F30" s="77">
        <v>1.587</v>
      </c>
      <c r="G30" s="77">
        <v>1.5609999999999999</v>
      </c>
      <c r="H30" s="77">
        <v>1.538</v>
      </c>
      <c r="I30" s="77">
        <v>1.466</v>
      </c>
      <c r="J30" s="3">
        <v>21105</v>
      </c>
      <c r="K30" s="10" t="s">
        <v>68</v>
      </c>
      <c r="L30" s="1" t="s">
        <v>69</v>
      </c>
      <c r="M30" s="3">
        <v>0.91</v>
      </c>
      <c r="N30" s="67">
        <v>0.93700000000000006</v>
      </c>
      <c r="O30" s="22">
        <f>+MAX(Tabla4[[#This Row],[6KWA]:[9KWA]])</f>
        <v>1.587</v>
      </c>
      <c r="P30" s="3">
        <f t="shared" si="0"/>
        <v>29</v>
      </c>
      <c r="Q30" s="3">
        <f t="shared" si="1"/>
        <v>1</v>
      </c>
      <c r="R30" s="3">
        <f t="shared" si="2"/>
        <v>5</v>
      </c>
      <c r="S30" s="3" t="str">
        <f t="shared" si="3"/>
        <v>enero</v>
      </c>
      <c r="T30" s="21">
        <f t="shared" si="4"/>
        <v>555.44999999999993</v>
      </c>
      <c r="U30" s="21">
        <f t="shared" si="5"/>
        <v>546.35</v>
      </c>
      <c r="V30" s="21">
        <f t="shared" si="6"/>
        <v>538.30000000000007</v>
      </c>
      <c r="W30" s="21">
        <f>+Tabla4[[#This Row],[9KWA]]*350</f>
        <v>513.1</v>
      </c>
      <c r="X30" s="21">
        <f>350*Tabla4[[#This Row],[Max Factor Medido]]</f>
        <v>555.44999999999993</v>
      </c>
      <c r="Y30" s="39">
        <v>0.92</v>
      </c>
      <c r="Z30" s="3">
        <f t="shared" si="7"/>
        <v>2025</v>
      </c>
      <c r="AA30" s="74">
        <f>+MEDIAN(Tabla4[[#This Row],[kwreal 6]:[kwreal 9]])</f>
        <v>542.32500000000005</v>
      </c>
      <c r="AB30" s="74">
        <f>+Tabla4[[#This Row],[LineaBase-FD]]/350</f>
        <v>1.5495000000000001</v>
      </c>
    </row>
    <row r="31" spans="1:28" x14ac:dyDescent="0.3">
      <c r="A31" s="28">
        <v>62256</v>
      </c>
      <c r="B31" s="3">
        <v>23764</v>
      </c>
      <c r="C31" s="3">
        <v>7769</v>
      </c>
      <c r="D31" s="3">
        <v>28003</v>
      </c>
      <c r="E31" s="3">
        <v>2719</v>
      </c>
      <c r="F31" s="77">
        <v>1.587</v>
      </c>
      <c r="G31" s="77">
        <v>1.5609999999999999</v>
      </c>
      <c r="H31" s="77">
        <v>1.538</v>
      </c>
      <c r="I31" s="77">
        <v>1.466</v>
      </c>
      <c r="J31" s="3">
        <v>21117</v>
      </c>
      <c r="K31" s="10" t="s">
        <v>29</v>
      </c>
      <c r="L31" s="1" t="s">
        <v>70</v>
      </c>
      <c r="M31" s="3">
        <v>0.96</v>
      </c>
      <c r="N31" s="67">
        <v>1.19</v>
      </c>
      <c r="O31" s="22">
        <f>+MAX(Tabla4[[#This Row],[6KWA]:[9KWA]])</f>
        <v>1.587</v>
      </c>
      <c r="P31" s="3">
        <f t="shared" si="0"/>
        <v>30</v>
      </c>
      <c r="Q31" s="3">
        <f t="shared" si="1"/>
        <v>1</v>
      </c>
      <c r="R31" s="3">
        <f t="shared" si="2"/>
        <v>5</v>
      </c>
      <c r="S31" s="3" t="str">
        <f t="shared" si="3"/>
        <v>enero</v>
      </c>
      <c r="T31" s="21">
        <f t="shared" si="4"/>
        <v>555.44999999999993</v>
      </c>
      <c r="U31" s="21">
        <f t="shared" si="5"/>
        <v>546.35</v>
      </c>
      <c r="V31" s="21">
        <f t="shared" si="6"/>
        <v>538.30000000000007</v>
      </c>
      <c r="W31" s="21">
        <f>+Tabla4[[#This Row],[9KWA]]*350</f>
        <v>513.1</v>
      </c>
      <c r="X31" s="21">
        <f>350*Tabla4[[#This Row],[Max Factor Medido]]</f>
        <v>555.44999999999993</v>
      </c>
      <c r="Y31" s="39">
        <v>0.92</v>
      </c>
      <c r="Z31" s="3">
        <f t="shared" si="7"/>
        <v>2025</v>
      </c>
      <c r="AA31" s="74">
        <f>+MEDIAN(Tabla4[[#This Row],[kwreal 6]:[kwreal 9]])</f>
        <v>542.32500000000005</v>
      </c>
      <c r="AB31" s="74">
        <f>+Tabla4[[#This Row],[LineaBase-FD]]/350</f>
        <v>1.5495000000000001</v>
      </c>
    </row>
    <row r="32" spans="1:28" ht="15" customHeight="1" x14ac:dyDescent="0.3">
      <c r="A32" s="28">
        <v>62286</v>
      </c>
      <c r="B32" s="3">
        <v>23777</v>
      </c>
      <c r="C32" s="3">
        <v>7775</v>
      </c>
      <c r="D32" s="3">
        <v>28014</v>
      </c>
      <c r="E32" s="3">
        <v>2719</v>
      </c>
      <c r="F32" s="77">
        <v>1.587</v>
      </c>
      <c r="G32" s="77">
        <v>1.5609999999999999</v>
      </c>
      <c r="H32" s="77">
        <v>1.538</v>
      </c>
      <c r="I32" s="77">
        <v>1.466</v>
      </c>
      <c r="J32" s="3">
        <v>21126</v>
      </c>
      <c r="K32" s="10" t="s">
        <v>41</v>
      </c>
      <c r="L32" s="1" t="s">
        <v>71</v>
      </c>
      <c r="M32" s="3">
        <v>0.96</v>
      </c>
      <c r="N32" s="67">
        <v>1.0920000000000001</v>
      </c>
      <c r="O32" s="22">
        <f>+MAX(Tabla4[[#This Row],[6KWA]:[9KWA]])</f>
        <v>1.587</v>
      </c>
      <c r="P32" s="3">
        <f t="shared" si="0"/>
        <v>31</v>
      </c>
      <c r="Q32" s="3">
        <f t="shared" si="1"/>
        <v>1</v>
      </c>
      <c r="R32" s="3">
        <f t="shared" si="2"/>
        <v>5</v>
      </c>
      <c r="S32" s="3" t="str">
        <f t="shared" si="3"/>
        <v>enero</v>
      </c>
      <c r="T32" s="21">
        <f t="shared" si="4"/>
        <v>555.44999999999993</v>
      </c>
      <c r="U32" s="21">
        <f t="shared" si="5"/>
        <v>546.35</v>
      </c>
      <c r="V32" s="21">
        <f t="shared" si="6"/>
        <v>538.30000000000007</v>
      </c>
      <c r="W32" s="21">
        <f>+Tabla4[[#This Row],[9KWA]]*350</f>
        <v>513.1</v>
      </c>
      <c r="X32" s="21">
        <f>350*Tabla4[[#This Row],[Max Factor Medido]]</f>
        <v>555.44999999999993</v>
      </c>
      <c r="Y32" s="39">
        <v>0.92</v>
      </c>
      <c r="Z32" s="3">
        <f t="shared" si="7"/>
        <v>2025</v>
      </c>
      <c r="AA32" s="74">
        <f>+MEDIAN(Tabla4[[#This Row],[kwreal 6]:[kwreal 9]])</f>
        <v>542.32500000000005</v>
      </c>
      <c r="AB32" s="74">
        <f>+Tabla4[[#This Row],[LineaBase-FD]]/350</f>
        <v>1.5495000000000001</v>
      </c>
    </row>
    <row r="33" spans="1:28" ht="15" customHeight="1" x14ac:dyDescent="0.3">
      <c r="A33" s="28">
        <v>6218</v>
      </c>
      <c r="B33" s="3">
        <v>23791</v>
      </c>
      <c r="C33" s="3">
        <v>7780</v>
      </c>
      <c r="D33" s="3">
        <v>28027</v>
      </c>
      <c r="E33" s="3">
        <v>2724</v>
      </c>
      <c r="F33" s="77">
        <v>0</v>
      </c>
      <c r="G33" s="77">
        <v>0</v>
      </c>
      <c r="H33" s="77">
        <v>1.335</v>
      </c>
      <c r="I33" s="77">
        <v>0</v>
      </c>
      <c r="J33" s="3">
        <v>21131</v>
      </c>
      <c r="K33" s="10" t="s">
        <v>72</v>
      </c>
      <c r="L33" s="1">
        <v>45659</v>
      </c>
      <c r="M33" s="3">
        <v>0.96</v>
      </c>
      <c r="N33" s="67">
        <v>1.248</v>
      </c>
      <c r="O33" s="22">
        <f>+MAX(Tabla4[[#This Row],[6KWA]:[9KWA]])</f>
        <v>1.335</v>
      </c>
      <c r="P33" s="3">
        <f t="shared" si="0"/>
        <v>2</v>
      </c>
      <c r="Q33" s="3">
        <f t="shared" si="1"/>
        <v>1</v>
      </c>
      <c r="R33" s="3">
        <f t="shared" si="2"/>
        <v>1</v>
      </c>
      <c r="S33" s="3" t="str">
        <f t="shared" si="3"/>
        <v>enero</v>
      </c>
      <c r="T33" s="21">
        <f t="shared" si="4"/>
        <v>0</v>
      </c>
      <c r="U33" s="21">
        <f t="shared" si="5"/>
        <v>0</v>
      </c>
      <c r="V33" s="21">
        <f t="shared" si="6"/>
        <v>467.25</v>
      </c>
      <c r="W33" s="21">
        <f>+Tabla4[[#This Row],[9KWA]]*350</f>
        <v>0</v>
      </c>
      <c r="X33" s="21">
        <f>350*Tabla4[[#This Row],[Max Factor Medido]]</f>
        <v>467.25</v>
      </c>
      <c r="Y33" s="39">
        <v>0.92</v>
      </c>
      <c r="Z33" s="3">
        <f t="shared" si="7"/>
        <v>2025</v>
      </c>
      <c r="AA33" s="74">
        <f>+MEDIAN(Tabla4[[#This Row],[kwreal 6]:[kwreal 9]])</f>
        <v>0</v>
      </c>
      <c r="AB33" s="74">
        <f>+Tabla4[[#This Row],[LineaBase-FD]]/350</f>
        <v>0</v>
      </c>
    </row>
    <row r="34" spans="1:28" x14ac:dyDescent="0.3">
      <c r="A34" s="29">
        <v>62349</v>
      </c>
      <c r="B34" s="2">
        <v>23791</v>
      </c>
      <c r="C34" s="2">
        <v>7780</v>
      </c>
      <c r="D34" s="2">
        <v>28053</v>
      </c>
      <c r="E34" s="2">
        <v>2724</v>
      </c>
      <c r="F34" s="77">
        <v>0</v>
      </c>
      <c r="G34" s="77">
        <v>0</v>
      </c>
      <c r="H34" s="77">
        <v>1.4910000000000001</v>
      </c>
      <c r="I34" s="77">
        <v>1.409</v>
      </c>
      <c r="J34" s="2">
        <v>21147</v>
      </c>
      <c r="K34" s="9" t="s">
        <v>66</v>
      </c>
      <c r="L34" s="4">
        <v>45690</v>
      </c>
      <c r="M34" s="2">
        <v>0.91</v>
      </c>
      <c r="N34" s="22">
        <v>1.2050000000000001</v>
      </c>
      <c r="O34" s="22">
        <f>+MAX(Tabla4[[#This Row],[6KWA]:[9KWA]])</f>
        <v>1.4910000000000001</v>
      </c>
      <c r="P34" s="3">
        <f t="shared" si="0"/>
        <v>2</v>
      </c>
      <c r="Q34" s="3">
        <f t="shared" si="1"/>
        <v>2</v>
      </c>
      <c r="R34" s="3">
        <f t="shared" si="2"/>
        <v>6</v>
      </c>
      <c r="S34" s="3" t="str">
        <f t="shared" si="3"/>
        <v>febrero</v>
      </c>
      <c r="T34" s="21">
        <f t="shared" si="4"/>
        <v>0</v>
      </c>
      <c r="U34" s="21">
        <f t="shared" si="5"/>
        <v>0</v>
      </c>
      <c r="V34" s="21">
        <f t="shared" si="6"/>
        <v>521.85</v>
      </c>
      <c r="W34" s="21">
        <f>+Tabla4[[#This Row],[9KWA]]*350</f>
        <v>493.15000000000003</v>
      </c>
      <c r="X34" s="21">
        <f>350*Tabla4[[#This Row],[Max Factor Medido]]</f>
        <v>521.85</v>
      </c>
      <c r="Y34" s="39">
        <v>0.92</v>
      </c>
      <c r="Z34" s="3">
        <f t="shared" si="7"/>
        <v>2025</v>
      </c>
      <c r="AA34" s="21">
        <f>+MEDIAN(Tabla4[[#This Row],[kwreal 6]:[kwreal 9]])</f>
        <v>246.57500000000002</v>
      </c>
      <c r="AB34" s="21">
        <f>+Tabla4[[#This Row],[LineaBase-FD]]/350</f>
        <v>0.70450000000000002</v>
      </c>
    </row>
    <row r="35" spans="1:28" x14ac:dyDescent="0.3">
      <c r="A35" s="28">
        <v>62379</v>
      </c>
      <c r="B35" s="3">
        <v>23791</v>
      </c>
      <c r="C35" s="3">
        <v>7780</v>
      </c>
      <c r="D35" s="3">
        <v>28077</v>
      </c>
      <c r="E35" s="3">
        <v>2729</v>
      </c>
      <c r="F35" s="77">
        <v>1.131</v>
      </c>
      <c r="G35" s="77">
        <v>0</v>
      </c>
      <c r="H35" s="77">
        <v>1.5389999999999999</v>
      </c>
      <c r="I35" s="77">
        <v>1.61</v>
      </c>
      <c r="J35" s="3">
        <v>21158</v>
      </c>
      <c r="K35" s="10" t="s">
        <v>73</v>
      </c>
      <c r="L35" s="1">
        <v>45718</v>
      </c>
      <c r="M35" s="3">
        <v>0.93</v>
      </c>
      <c r="N35" s="22">
        <v>1.238</v>
      </c>
      <c r="O35" s="22">
        <f>+MAX(Tabla4[[#This Row],[6KWA]:[9KWA]])</f>
        <v>1.61</v>
      </c>
      <c r="P35" s="3">
        <f t="shared" si="0"/>
        <v>2</v>
      </c>
      <c r="Q35" s="3">
        <f t="shared" si="1"/>
        <v>3</v>
      </c>
      <c r="R35" s="3">
        <f t="shared" si="2"/>
        <v>10</v>
      </c>
      <c r="S35" s="3" t="str">
        <f t="shared" si="3"/>
        <v>marzo</v>
      </c>
      <c r="T35" s="21">
        <f t="shared" si="4"/>
        <v>395.85</v>
      </c>
      <c r="U35" s="21">
        <f t="shared" si="5"/>
        <v>0</v>
      </c>
      <c r="V35" s="21">
        <f t="shared" si="6"/>
        <v>538.65</v>
      </c>
      <c r="W35" s="21">
        <f>+Tabla4[[#This Row],[9KWA]]*350</f>
        <v>563.5</v>
      </c>
      <c r="X35" s="21">
        <f>350*Tabla4[[#This Row],[Max Factor Medido]]</f>
        <v>563.5</v>
      </c>
      <c r="Y35" s="39">
        <v>0.92</v>
      </c>
      <c r="Z35" s="3">
        <f t="shared" si="7"/>
        <v>2025</v>
      </c>
      <c r="AA35" s="21">
        <f>+MEDIAN(Tabla4[[#This Row],[kwreal 6]:[kwreal 9]])</f>
        <v>467.25</v>
      </c>
      <c r="AB35" s="21">
        <f>+Tabla4[[#This Row],[LineaBase-FD]]/350</f>
        <v>1.335</v>
      </c>
    </row>
    <row r="36" spans="1:28" x14ac:dyDescent="0.3">
      <c r="A36" s="29">
        <v>62409</v>
      </c>
      <c r="B36" s="2">
        <v>23805</v>
      </c>
      <c r="C36" s="2">
        <v>7785</v>
      </c>
      <c r="D36" s="2">
        <v>28088</v>
      </c>
      <c r="E36" s="2">
        <v>2729</v>
      </c>
      <c r="F36" s="77">
        <v>1.55</v>
      </c>
      <c r="G36" s="77">
        <v>1.4390000000000001</v>
      </c>
      <c r="H36" s="77">
        <v>1.5389999999999999</v>
      </c>
      <c r="I36" s="77">
        <v>1.61</v>
      </c>
      <c r="J36" s="2">
        <v>21168</v>
      </c>
      <c r="K36" s="9" t="s">
        <v>31</v>
      </c>
      <c r="L36" s="4">
        <v>45749</v>
      </c>
      <c r="M36" s="3">
        <v>0.96</v>
      </c>
      <c r="N36" s="22">
        <v>1.2050000000000001</v>
      </c>
      <c r="O36" s="22">
        <f>+MAX(Tabla4[[#This Row],[6KWA]:[9KWA]])</f>
        <v>1.61</v>
      </c>
      <c r="P36" s="3">
        <f t="shared" si="0"/>
        <v>2</v>
      </c>
      <c r="Q36" s="3">
        <f t="shared" si="1"/>
        <v>4</v>
      </c>
      <c r="R36" s="3">
        <f t="shared" si="2"/>
        <v>14</v>
      </c>
      <c r="S36" s="3" t="str">
        <f t="shared" si="3"/>
        <v>abril</v>
      </c>
      <c r="T36" s="21">
        <f t="shared" si="4"/>
        <v>542.5</v>
      </c>
      <c r="U36" s="21">
        <f t="shared" si="5"/>
        <v>503.65000000000003</v>
      </c>
      <c r="V36" s="21">
        <f t="shared" si="6"/>
        <v>538.65</v>
      </c>
      <c r="W36" s="21">
        <f>+Tabla4[[#This Row],[9KWA]]*350</f>
        <v>563.5</v>
      </c>
      <c r="X36" s="21">
        <f>350*Tabla4[[#This Row],[Max Factor Medido]]</f>
        <v>563.5</v>
      </c>
      <c r="Y36" s="39">
        <v>0.92</v>
      </c>
      <c r="Z36" s="3">
        <f t="shared" si="7"/>
        <v>2025</v>
      </c>
      <c r="AA36" s="21">
        <f>+MEDIAN(Tabla4[[#This Row],[kwreal 6]:[kwreal 9]])</f>
        <v>540.57500000000005</v>
      </c>
      <c r="AB36" s="21">
        <f>+Tabla4[[#This Row],[LineaBase-FD]]/350</f>
        <v>1.5445000000000002</v>
      </c>
    </row>
    <row r="37" spans="1:28" x14ac:dyDescent="0.3">
      <c r="A37" s="29">
        <v>62458</v>
      </c>
      <c r="B37" s="2">
        <v>23818</v>
      </c>
      <c r="C37" s="2">
        <v>7791</v>
      </c>
      <c r="D37" s="2">
        <v>28098</v>
      </c>
      <c r="E37" s="2">
        <v>2729</v>
      </c>
      <c r="F37" s="77">
        <v>1.583</v>
      </c>
      <c r="G37" s="77">
        <v>1.4</v>
      </c>
      <c r="H37" s="77">
        <v>1.5389999999999999</v>
      </c>
      <c r="I37" s="77">
        <v>1.61</v>
      </c>
      <c r="J37" s="2">
        <v>21178</v>
      </c>
      <c r="K37" s="9" t="s">
        <v>74</v>
      </c>
      <c r="L37" s="1">
        <v>45779</v>
      </c>
      <c r="M37" s="2">
        <v>0.95</v>
      </c>
      <c r="N37" s="22">
        <v>1.157</v>
      </c>
      <c r="O37" s="22">
        <f>+MAX(Tabla4[[#This Row],[6KWA]:[9KWA]])</f>
        <v>1.61</v>
      </c>
      <c r="P37" s="3">
        <f t="shared" si="0"/>
        <v>2</v>
      </c>
      <c r="Q37" s="3">
        <f t="shared" si="1"/>
        <v>5</v>
      </c>
      <c r="R37" s="3">
        <f t="shared" si="2"/>
        <v>18</v>
      </c>
      <c r="S37" s="3" t="str">
        <f t="shared" si="3"/>
        <v>mayo</v>
      </c>
      <c r="T37" s="21">
        <f t="shared" si="4"/>
        <v>554.04999999999995</v>
      </c>
      <c r="U37" s="21">
        <f t="shared" si="5"/>
        <v>489.99999999999994</v>
      </c>
      <c r="V37" s="21">
        <f t="shared" si="6"/>
        <v>538.65</v>
      </c>
      <c r="W37" s="21">
        <f>+Tabla4[[#This Row],[9KWA]]*350</f>
        <v>563.5</v>
      </c>
      <c r="X37" s="21">
        <f>350*Tabla4[[#This Row],[Max Factor Medido]]</f>
        <v>563.5</v>
      </c>
      <c r="Y37" s="39">
        <v>0.94</v>
      </c>
      <c r="Z37" s="3">
        <f t="shared" si="7"/>
        <v>2025</v>
      </c>
      <c r="AA37" s="21">
        <f>+MEDIAN(Tabla4[[#This Row],[kwreal 6]:[kwreal 9]])</f>
        <v>546.34999999999991</v>
      </c>
      <c r="AB37" s="21">
        <f>+Tabla4[[#This Row],[LineaBase-FD]]/350</f>
        <v>1.5609999999999997</v>
      </c>
    </row>
    <row r="38" spans="1:28" x14ac:dyDescent="0.3">
      <c r="A38" s="28">
        <v>62467</v>
      </c>
      <c r="B38" s="3">
        <v>23828</v>
      </c>
      <c r="C38" s="3">
        <v>7796</v>
      </c>
      <c r="D38" s="3">
        <v>28112</v>
      </c>
      <c r="E38" s="3">
        <v>2729</v>
      </c>
      <c r="F38" s="77">
        <v>1.625</v>
      </c>
      <c r="G38" s="77">
        <v>1.5109999999999999</v>
      </c>
      <c r="H38" s="77">
        <v>1.5389999999999999</v>
      </c>
      <c r="I38" s="77">
        <v>1.61</v>
      </c>
      <c r="J38" s="3">
        <v>21188</v>
      </c>
      <c r="K38" s="10" t="s">
        <v>75</v>
      </c>
      <c r="L38" s="4">
        <v>45810</v>
      </c>
      <c r="M38" s="2">
        <v>0.93</v>
      </c>
      <c r="N38" s="22">
        <v>1.1619999999999999</v>
      </c>
      <c r="O38" s="22">
        <f>+MAX(Tabla4[[#This Row],[6KWA]:[9KWA]])</f>
        <v>1.625</v>
      </c>
      <c r="P38" s="3">
        <f t="shared" si="0"/>
        <v>2</v>
      </c>
      <c r="Q38" s="3">
        <f t="shared" si="1"/>
        <v>6</v>
      </c>
      <c r="R38" s="3">
        <f t="shared" si="2"/>
        <v>23</v>
      </c>
      <c r="S38" s="3" t="str">
        <f t="shared" si="3"/>
        <v>junio</v>
      </c>
      <c r="T38" s="21">
        <f t="shared" si="4"/>
        <v>568.75</v>
      </c>
      <c r="U38" s="21">
        <f t="shared" si="5"/>
        <v>528.84999999999991</v>
      </c>
      <c r="V38" s="21">
        <f t="shared" si="6"/>
        <v>538.65</v>
      </c>
      <c r="W38" s="21">
        <f>+Tabla4[[#This Row],[9KWA]]*350</f>
        <v>563.5</v>
      </c>
      <c r="X38" s="21">
        <f>350*Tabla4[[#This Row],[Max Factor Medido]]</f>
        <v>568.75</v>
      </c>
      <c r="Y38" s="39">
        <v>0.94</v>
      </c>
      <c r="Z38" s="3">
        <f t="shared" si="7"/>
        <v>2025</v>
      </c>
      <c r="AA38" s="21">
        <f>+MEDIAN(Tabla4[[#This Row],[kwreal 6]:[kwreal 9]])</f>
        <v>551.07500000000005</v>
      </c>
      <c r="AB38" s="21">
        <f>+Tabla4[[#This Row],[LineaBase-FD]]/350</f>
        <v>1.5745000000000002</v>
      </c>
    </row>
    <row r="39" spans="1:28" x14ac:dyDescent="0.3">
      <c r="A39" s="28">
        <v>62498</v>
      </c>
      <c r="B39" s="3">
        <v>23842</v>
      </c>
      <c r="C39" s="3">
        <v>7801</v>
      </c>
      <c r="D39" s="3">
        <v>28125</v>
      </c>
      <c r="E39" s="3">
        <v>2729</v>
      </c>
      <c r="F39" s="77">
        <v>1.625</v>
      </c>
      <c r="G39" s="77">
        <v>1.5109999999999999</v>
      </c>
      <c r="H39" s="77">
        <v>1.5109999999999999</v>
      </c>
      <c r="I39" s="77">
        <v>1.61</v>
      </c>
      <c r="J39" s="3">
        <v>21200</v>
      </c>
      <c r="K39" s="10" t="s">
        <v>76</v>
      </c>
      <c r="L39" s="5">
        <v>45840</v>
      </c>
      <c r="M39" s="3">
        <v>0.95</v>
      </c>
      <c r="N39" s="22">
        <v>1.21</v>
      </c>
      <c r="O39" s="22">
        <f>+MAX(Tabla4[[#This Row],[6KWA]:[9KWA]])</f>
        <v>1.625</v>
      </c>
      <c r="P39" s="3">
        <f t="shared" si="0"/>
        <v>2</v>
      </c>
      <c r="Q39" s="3">
        <f t="shared" si="1"/>
        <v>7</v>
      </c>
      <c r="R39" s="3">
        <f t="shared" si="2"/>
        <v>27</v>
      </c>
      <c r="S39" s="3" t="str">
        <f t="shared" si="3"/>
        <v>julio</v>
      </c>
      <c r="T39" s="21">
        <f t="shared" si="4"/>
        <v>568.75</v>
      </c>
      <c r="U39" s="21">
        <f t="shared" si="5"/>
        <v>528.84999999999991</v>
      </c>
      <c r="V39" s="21">
        <f t="shared" si="6"/>
        <v>528.84999999999991</v>
      </c>
      <c r="W39" s="21">
        <f>+Tabla4[[#This Row],[9KWA]]*350</f>
        <v>563.5</v>
      </c>
      <c r="X39" s="21">
        <f>350*Tabla4[[#This Row],[Max Factor Medido]]</f>
        <v>568.75</v>
      </c>
      <c r="Y39" s="39">
        <v>0.94</v>
      </c>
      <c r="Z39" s="3">
        <f t="shared" si="7"/>
        <v>2025</v>
      </c>
      <c r="AA39" s="21">
        <f>+MEDIAN(Tabla4[[#This Row],[kwreal 6]:[kwreal 9]])</f>
        <v>546.17499999999995</v>
      </c>
      <c r="AB39" s="21">
        <f>+Tabla4[[#This Row],[LineaBase-FD]]/350</f>
        <v>1.5604999999999998</v>
      </c>
    </row>
    <row r="40" spans="1:28" x14ac:dyDescent="0.3">
      <c r="A40" s="28">
        <v>62530</v>
      </c>
      <c r="B40" s="3">
        <v>23855</v>
      </c>
      <c r="C40" s="3">
        <v>7806</v>
      </c>
      <c r="D40" s="3">
        <v>28139</v>
      </c>
      <c r="E40" s="3">
        <v>2729</v>
      </c>
      <c r="F40" s="77">
        <v>1.625</v>
      </c>
      <c r="G40" s="77">
        <v>1.5109999999999999</v>
      </c>
      <c r="H40" s="77">
        <v>1.5389999999999999</v>
      </c>
      <c r="I40" s="77">
        <v>1.61</v>
      </c>
      <c r="J40" s="3">
        <v>21211</v>
      </c>
      <c r="K40" s="10" t="s">
        <v>77</v>
      </c>
      <c r="L40" s="4">
        <v>45871</v>
      </c>
      <c r="M40" s="3">
        <v>0.98</v>
      </c>
      <c r="N40" s="22">
        <v>1.1830000000000001</v>
      </c>
      <c r="O40" s="22">
        <f>+MAX(Tabla4[[#This Row],[6KWA]:[9KWA]])</f>
        <v>1.625</v>
      </c>
      <c r="P40" s="3">
        <f t="shared" si="0"/>
        <v>2</v>
      </c>
      <c r="Q40" s="3">
        <f t="shared" si="1"/>
        <v>8</v>
      </c>
      <c r="R40" s="3">
        <f t="shared" si="2"/>
        <v>31</v>
      </c>
      <c r="S40" s="3" t="str">
        <f t="shared" si="3"/>
        <v>agosto</v>
      </c>
      <c r="T40" s="21">
        <f t="shared" si="4"/>
        <v>568.75</v>
      </c>
      <c r="U40" s="21">
        <f t="shared" si="5"/>
        <v>528.84999999999991</v>
      </c>
      <c r="V40" s="21">
        <f t="shared" si="6"/>
        <v>538.65</v>
      </c>
      <c r="W40" s="21">
        <f>+Tabla4[[#This Row],[9KWA]]*350</f>
        <v>563.5</v>
      </c>
      <c r="X40" s="21">
        <f>350*Tabla4[[#This Row],[Max Factor Medido]]</f>
        <v>568.75</v>
      </c>
      <c r="Y40" s="39">
        <v>0.94</v>
      </c>
      <c r="Z40" s="3">
        <f t="shared" si="7"/>
        <v>2025</v>
      </c>
      <c r="AA40" s="21">
        <f>+MEDIAN(Tabla4[[#This Row],[kwreal 6]:[kwreal 9]])</f>
        <v>551.07500000000005</v>
      </c>
      <c r="AB40" s="21">
        <f>+Tabla4[[#This Row],[LineaBase-FD]]/350</f>
        <v>1.5745000000000002</v>
      </c>
    </row>
    <row r="41" spans="1:28" s="19" customFormat="1" x14ac:dyDescent="0.3">
      <c r="A41" s="28">
        <v>62560</v>
      </c>
      <c r="B41" s="3">
        <v>23855</v>
      </c>
      <c r="C41" s="3">
        <v>7806</v>
      </c>
      <c r="D41" s="3">
        <v>28163</v>
      </c>
      <c r="E41" s="3">
        <v>2734</v>
      </c>
      <c r="F41" s="77">
        <v>1.625</v>
      </c>
      <c r="G41" s="77">
        <v>1.5109999999999999</v>
      </c>
      <c r="H41" s="77">
        <v>1.5389999999999999</v>
      </c>
      <c r="I41" s="77">
        <v>1.61</v>
      </c>
      <c r="J41" s="3">
        <v>21221</v>
      </c>
      <c r="K41" s="10" t="s">
        <v>78</v>
      </c>
      <c r="L41" s="1">
        <v>45902</v>
      </c>
      <c r="M41" s="2">
        <v>0.95</v>
      </c>
      <c r="N41" s="22">
        <v>1.157</v>
      </c>
      <c r="O41" s="22">
        <f>+MAX(Tabla4[[#This Row],[6KWA]:[9KWA]])</f>
        <v>1.625</v>
      </c>
      <c r="P41" s="3">
        <f t="shared" si="0"/>
        <v>2</v>
      </c>
      <c r="Q41" s="3">
        <f t="shared" si="1"/>
        <v>9</v>
      </c>
      <c r="R41" s="3">
        <f t="shared" si="2"/>
        <v>36</v>
      </c>
      <c r="S41" s="3" t="str">
        <f t="shared" si="3"/>
        <v>septiembre</v>
      </c>
      <c r="T41" s="21">
        <f t="shared" si="4"/>
        <v>568.75</v>
      </c>
      <c r="U41" s="21">
        <f t="shared" si="5"/>
        <v>528.84999999999991</v>
      </c>
      <c r="V41" s="21">
        <f t="shared" si="6"/>
        <v>538.65</v>
      </c>
      <c r="W41" s="21">
        <f>+Tabla4[[#This Row],[9KWA]]*350</f>
        <v>563.5</v>
      </c>
      <c r="X41" s="21">
        <f>350*Tabla4[[#This Row],[Max Factor Medido]]</f>
        <v>568.75</v>
      </c>
      <c r="Y41" s="39">
        <v>0.94</v>
      </c>
      <c r="Z41" s="3">
        <f t="shared" si="7"/>
        <v>2025</v>
      </c>
      <c r="AA41" s="65">
        <f>+MEDIAN(Tabla4[[#This Row],[kwreal 6]:[kwreal 9]])</f>
        <v>551.07500000000005</v>
      </c>
      <c r="AB41" s="65">
        <f>+Tabla4[[#This Row],[LineaBase-FD]]/350</f>
        <v>1.5745000000000002</v>
      </c>
    </row>
    <row r="42" spans="1:28" s="19" customFormat="1" x14ac:dyDescent="0.3">
      <c r="A42" s="28">
        <v>62589</v>
      </c>
      <c r="B42" s="3">
        <v>23857</v>
      </c>
      <c r="C42" s="3">
        <v>7806</v>
      </c>
      <c r="D42" s="3">
        <v>28188</v>
      </c>
      <c r="E42" s="3">
        <v>2739</v>
      </c>
      <c r="F42" s="77">
        <v>1.625</v>
      </c>
      <c r="G42" s="77">
        <v>1.5109999999999999</v>
      </c>
      <c r="H42" s="77">
        <v>1.5389999999999999</v>
      </c>
      <c r="I42" s="77">
        <v>1.61</v>
      </c>
      <c r="J42" s="3">
        <v>21231</v>
      </c>
      <c r="K42" s="10" t="s">
        <v>79</v>
      </c>
      <c r="L42" s="4">
        <v>45932</v>
      </c>
      <c r="M42" s="2">
        <v>0.93</v>
      </c>
      <c r="N42" s="22">
        <v>1.0469999999999999</v>
      </c>
      <c r="O42" s="22">
        <f>+MAX(Tabla4[[#This Row],[6KWA]:[9KWA]])</f>
        <v>1.625</v>
      </c>
      <c r="P42" s="3">
        <f t="shared" si="0"/>
        <v>2</v>
      </c>
      <c r="Q42" s="3">
        <f t="shared" si="1"/>
        <v>10</v>
      </c>
      <c r="R42" s="3">
        <f t="shared" si="2"/>
        <v>40</v>
      </c>
      <c r="S42" s="3" t="str">
        <f t="shared" si="3"/>
        <v>octubre</v>
      </c>
      <c r="T42" s="21">
        <f t="shared" si="4"/>
        <v>568.75</v>
      </c>
      <c r="U42" s="21">
        <f t="shared" si="5"/>
        <v>528.84999999999991</v>
      </c>
      <c r="V42" s="21">
        <f t="shared" si="6"/>
        <v>538.65</v>
      </c>
      <c r="W42" s="21">
        <f>+Tabla4[[#This Row],[9KWA]]*350</f>
        <v>563.5</v>
      </c>
      <c r="X42" s="21">
        <f>350*Tabla4[[#This Row],[Max Factor Medido]]</f>
        <v>568.75</v>
      </c>
      <c r="Y42" s="39">
        <v>0.94</v>
      </c>
      <c r="Z42" s="3">
        <f t="shared" si="7"/>
        <v>2025</v>
      </c>
      <c r="AA42" s="65">
        <f>+MEDIAN(Tabla4[[#This Row],[kwreal 6]:[kwreal 9]])</f>
        <v>551.07500000000005</v>
      </c>
      <c r="AB42" s="65">
        <f>+Tabla4[[#This Row],[LineaBase-FD]]/350</f>
        <v>1.5745000000000002</v>
      </c>
    </row>
    <row r="43" spans="1:28" s="19" customFormat="1" x14ac:dyDescent="0.3">
      <c r="A43" s="28">
        <v>62620</v>
      </c>
      <c r="B43" s="3">
        <v>23871</v>
      </c>
      <c r="C43" s="3">
        <v>7811</v>
      </c>
      <c r="D43" s="3">
        <v>28197</v>
      </c>
      <c r="E43" s="3">
        <v>2739</v>
      </c>
      <c r="F43" s="77">
        <v>1.625</v>
      </c>
      <c r="G43" s="77">
        <v>0.95299999999999996</v>
      </c>
      <c r="H43" s="77">
        <v>1.5389999999999999</v>
      </c>
      <c r="I43" s="77">
        <v>1.61</v>
      </c>
      <c r="J43" s="3">
        <v>21242</v>
      </c>
      <c r="K43" s="10" t="s">
        <v>80</v>
      </c>
      <c r="L43" s="1">
        <v>45963</v>
      </c>
      <c r="M43" s="2">
        <v>0.95</v>
      </c>
      <c r="N43" s="22">
        <v>1.32</v>
      </c>
      <c r="O43" s="22">
        <f>+MAX(Tabla4[[#This Row],[6KWA]:[9KWA]])</f>
        <v>1.625</v>
      </c>
      <c r="P43" s="3">
        <f t="shared" si="0"/>
        <v>2</v>
      </c>
      <c r="Q43" s="3">
        <f t="shared" si="1"/>
        <v>11</v>
      </c>
      <c r="R43" s="3">
        <f t="shared" si="2"/>
        <v>45</v>
      </c>
      <c r="S43" s="3" t="str">
        <f t="shared" si="3"/>
        <v>noviembre</v>
      </c>
      <c r="T43" s="21">
        <f t="shared" si="4"/>
        <v>568.75</v>
      </c>
      <c r="U43" s="21">
        <f t="shared" si="5"/>
        <v>333.55</v>
      </c>
      <c r="V43" s="21">
        <f t="shared" si="6"/>
        <v>538.65</v>
      </c>
      <c r="W43" s="21">
        <f>+Tabla4[[#This Row],[9KWA]]*350</f>
        <v>563.5</v>
      </c>
      <c r="X43" s="21">
        <f>350*Tabla4[[#This Row],[Max Factor Medido]]</f>
        <v>568.75</v>
      </c>
      <c r="Y43" s="39">
        <v>0.94</v>
      </c>
      <c r="Z43" s="3">
        <f t="shared" si="7"/>
        <v>2025</v>
      </c>
      <c r="AA43" s="65">
        <f>+MEDIAN(Tabla4[[#This Row],[kwreal 6]:[kwreal 9]])</f>
        <v>551.07500000000005</v>
      </c>
      <c r="AB43" s="65">
        <f>+Tabla4[[#This Row],[LineaBase-FD]]/350</f>
        <v>1.5745000000000002</v>
      </c>
    </row>
    <row r="44" spans="1:28" s="19" customFormat="1" x14ac:dyDescent="0.3">
      <c r="A44" s="29">
        <v>62645</v>
      </c>
      <c r="B44" s="2">
        <v>23881</v>
      </c>
      <c r="C44" s="2">
        <v>7816</v>
      </c>
      <c r="D44" s="2">
        <v>28208</v>
      </c>
      <c r="E44" s="2">
        <v>2739</v>
      </c>
      <c r="F44" s="77">
        <v>1.625</v>
      </c>
      <c r="G44" s="77">
        <v>0.95299999999999996</v>
      </c>
      <c r="H44" s="77">
        <v>1.5389999999999999</v>
      </c>
      <c r="I44" s="77">
        <v>1.61</v>
      </c>
      <c r="J44" s="2">
        <v>21250</v>
      </c>
      <c r="K44" s="9" t="s">
        <v>30</v>
      </c>
      <c r="L44" s="4">
        <v>45993</v>
      </c>
      <c r="M44" s="2">
        <v>0.96</v>
      </c>
      <c r="N44" s="22">
        <v>1.0649999999999999</v>
      </c>
      <c r="O44" s="22">
        <f>+MAX(Tabla4[[#This Row],[6KWA]:[9KWA]])</f>
        <v>1.625</v>
      </c>
      <c r="P44" s="3">
        <f t="shared" si="0"/>
        <v>2</v>
      </c>
      <c r="Q44" s="3">
        <f t="shared" si="1"/>
        <v>12</v>
      </c>
      <c r="R44" s="3">
        <f t="shared" si="2"/>
        <v>49</v>
      </c>
      <c r="S44" s="3" t="str">
        <f t="shared" si="3"/>
        <v>diciembre</v>
      </c>
      <c r="T44" s="21">
        <f t="shared" si="4"/>
        <v>568.75</v>
      </c>
      <c r="U44" s="21">
        <f t="shared" si="5"/>
        <v>333.55</v>
      </c>
      <c r="V44" s="21">
        <f t="shared" si="6"/>
        <v>538.65</v>
      </c>
      <c r="W44" s="21">
        <f>+Tabla4[[#This Row],[9KWA]]*350</f>
        <v>563.5</v>
      </c>
      <c r="X44" s="21">
        <f>350*Tabla4[[#This Row],[Max Factor Medido]]</f>
        <v>568.75</v>
      </c>
      <c r="Y44" s="39">
        <v>0.94</v>
      </c>
      <c r="Z44" s="3">
        <f t="shared" si="7"/>
        <v>2025</v>
      </c>
      <c r="AA44" s="65">
        <f>+MEDIAN(Tabla4[[#This Row],[kwreal 6]:[kwreal 9]])</f>
        <v>551.07500000000005</v>
      </c>
      <c r="AB44" s="65">
        <f>+Tabla4[[#This Row],[LineaBase-FD]]/350</f>
        <v>1.5745000000000002</v>
      </c>
    </row>
    <row r="45" spans="1:28" s="19" customFormat="1" x14ac:dyDescent="0.3">
      <c r="A45" s="29">
        <v>62675</v>
      </c>
      <c r="B45" s="2">
        <v>23893</v>
      </c>
      <c r="C45" s="2">
        <v>7821</v>
      </c>
      <c r="D45" s="2">
        <v>28220</v>
      </c>
      <c r="E45" s="2">
        <v>2739</v>
      </c>
      <c r="F45" s="77">
        <v>1.625</v>
      </c>
      <c r="G45" s="77">
        <v>1.014</v>
      </c>
      <c r="H45" s="77">
        <v>1.5389999999999999</v>
      </c>
      <c r="I45" s="77">
        <v>1.61</v>
      </c>
      <c r="J45" s="2">
        <v>21261</v>
      </c>
      <c r="K45" s="9" t="s">
        <v>75</v>
      </c>
      <c r="L45" s="4" t="s">
        <v>81</v>
      </c>
      <c r="M45" s="2">
        <v>0.95</v>
      </c>
      <c r="N45" s="22">
        <v>1.1679999999999999</v>
      </c>
      <c r="O45" s="22">
        <f>+MAX(Tabla4[[#This Row],[6KWA]:[9KWA]])</f>
        <v>1.625</v>
      </c>
      <c r="P45" s="3">
        <f t="shared" si="0"/>
        <v>13</v>
      </c>
      <c r="Q45" s="3">
        <f t="shared" si="1"/>
        <v>2</v>
      </c>
      <c r="R45" s="3">
        <f t="shared" si="2"/>
        <v>7</v>
      </c>
      <c r="S45" s="3" t="str">
        <f t="shared" si="3"/>
        <v>febrero</v>
      </c>
      <c r="T45" s="21">
        <f t="shared" si="4"/>
        <v>568.75</v>
      </c>
      <c r="U45" s="21">
        <f t="shared" si="5"/>
        <v>354.9</v>
      </c>
      <c r="V45" s="21">
        <f t="shared" si="6"/>
        <v>538.65</v>
      </c>
      <c r="W45" s="21">
        <f>+Tabla4[[#This Row],[9KWA]]*350</f>
        <v>563.5</v>
      </c>
      <c r="X45" s="21">
        <f>350*Tabla4[[#This Row],[Max Factor Medido]]</f>
        <v>568.75</v>
      </c>
      <c r="Y45" s="39">
        <v>0.92</v>
      </c>
      <c r="Z45" s="3">
        <f t="shared" si="7"/>
        <v>2025</v>
      </c>
      <c r="AA45" s="65">
        <f>+MEDIAN(Tabla4[[#This Row],[kwreal 6]:[kwreal 9]])</f>
        <v>551.07500000000005</v>
      </c>
      <c r="AB45" s="65">
        <f>+Tabla4[[#This Row],[LineaBase-FD]]/350</f>
        <v>1.5745000000000002</v>
      </c>
    </row>
    <row r="46" spans="1:28" s="19" customFormat="1" x14ac:dyDescent="0.3">
      <c r="A46" s="28">
        <v>62706</v>
      </c>
      <c r="B46" s="3">
        <v>23907</v>
      </c>
      <c r="C46" s="3">
        <v>7826</v>
      </c>
      <c r="D46" s="3">
        <v>28232</v>
      </c>
      <c r="E46" s="3">
        <v>2739</v>
      </c>
      <c r="F46" s="77">
        <v>1.625</v>
      </c>
      <c r="G46" s="77">
        <v>1.014</v>
      </c>
      <c r="H46" s="77">
        <v>1.5389999999999999</v>
      </c>
      <c r="I46" s="77">
        <v>1.61</v>
      </c>
      <c r="J46" s="3">
        <v>21271</v>
      </c>
      <c r="K46" s="10" t="s">
        <v>30</v>
      </c>
      <c r="L46" s="1" t="s">
        <v>82</v>
      </c>
      <c r="M46" s="2">
        <v>0.94</v>
      </c>
      <c r="N46" s="22">
        <v>1.0449999999999999</v>
      </c>
      <c r="O46" s="22">
        <f>+MAX(Tabla4[[#This Row],[6KWA]:[9KWA]])</f>
        <v>1.625</v>
      </c>
      <c r="P46" s="3">
        <f t="shared" si="0"/>
        <v>14</v>
      </c>
      <c r="Q46" s="3">
        <f t="shared" si="1"/>
        <v>2</v>
      </c>
      <c r="R46" s="3">
        <f t="shared" si="2"/>
        <v>7</v>
      </c>
      <c r="S46" s="3" t="str">
        <f t="shared" si="3"/>
        <v>febrero</v>
      </c>
      <c r="T46" s="21">
        <f t="shared" si="4"/>
        <v>568.75</v>
      </c>
      <c r="U46" s="21">
        <f t="shared" si="5"/>
        <v>354.9</v>
      </c>
      <c r="V46" s="21">
        <f t="shared" si="6"/>
        <v>538.65</v>
      </c>
      <c r="W46" s="21">
        <f>+Tabla4[[#This Row],[9KWA]]*350</f>
        <v>563.5</v>
      </c>
      <c r="X46" s="21">
        <f>350*Tabla4[[#This Row],[Max Factor Medido]]</f>
        <v>568.75</v>
      </c>
      <c r="Y46" s="39">
        <v>0.92</v>
      </c>
      <c r="Z46" s="3">
        <f t="shared" si="7"/>
        <v>2025</v>
      </c>
      <c r="AA46" s="65">
        <f>+MEDIAN(Tabla4[[#This Row],[kwreal 6]:[kwreal 9]])</f>
        <v>551.07500000000005</v>
      </c>
      <c r="AB46" s="65">
        <f>+Tabla4[[#This Row],[LineaBase-FD]]/350</f>
        <v>1.5745000000000002</v>
      </c>
    </row>
    <row r="47" spans="1:28" s="19" customFormat="1" x14ac:dyDescent="0.3">
      <c r="A47" s="28">
        <v>62736</v>
      </c>
      <c r="B47" s="3">
        <v>23920</v>
      </c>
      <c r="C47" s="3">
        <v>7831</v>
      </c>
      <c r="D47" s="3">
        <v>28244</v>
      </c>
      <c r="E47" s="3">
        <v>2739</v>
      </c>
      <c r="F47" s="77">
        <v>1.625</v>
      </c>
      <c r="G47" s="77">
        <v>1.04</v>
      </c>
      <c r="H47" s="77">
        <v>1.5389999999999999</v>
      </c>
      <c r="I47" s="77">
        <v>1.61</v>
      </c>
      <c r="J47" s="3">
        <v>21282</v>
      </c>
      <c r="K47" s="10" t="s">
        <v>32</v>
      </c>
      <c r="L47" s="1" t="s">
        <v>83</v>
      </c>
      <c r="M47" s="2">
        <v>0.94</v>
      </c>
      <c r="N47" s="22">
        <v>1.1180000000000001</v>
      </c>
      <c r="O47" s="22">
        <f>+MAX(Tabla4[[#This Row],[6KWA]:[9KWA]])</f>
        <v>1.625</v>
      </c>
      <c r="P47" s="3">
        <f t="shared" si="0"/>
        <v>15</v>
      </c>
      <c r="Q47" s="3">
        <f t="shared" si="1"/>
        <v>2</v>
      </c>
      <c r="R47" s="3">
        <f t="shared" si="2"/>
        <v>7</v>
      </c>
      <c r="S47" s="3" t="str">
        <f t="shared" si="3"/>
        <v>febrero</v>
      </c>
      <c r="T47" s="21">
        <f t="shared" si="4"/>
        <v>568.75</v>
      </c>
      <c r="U47" s="21">
        <f t="shared" si="5"/>
        <v>364</v>
      </c>
      <c r="V47" s="21">
        <f t="shared" si="6"/>
        <v>538.65</v>
      </c>
      <c r="W47" s="21">
        <f>+Tabla4[[#This Row],[9KWA]]*350</f>
        <v>563.5</v>
      </c>
      <c r="X47" s="21">
        <f>350*Tabla4[[#This Row],[Max Factor Medido]]</f>
        <v>568.75</v>
      </c>
      <c r="Y47" s="39">
        <v>0.92</v>
      </c>
      <c r="Z47" s="3">
        <f t="shared" si="7"/>
        <v>2025</v>
      </c>
      <c r="AA47" s="65">
        <f>+MEDIAN(Tabla4[[#This Row],[kwreal 6]:[kwreal 9]])</f>
        <v>551.07500000000005</v>
      </c>
      <c r="AB47" s="65">
        <f>+Tabla4[[#This Row],[LineaBase-FD]]/350</f>
        <v>1.5745000000000002</v>
      </c>
    </row>
    <row r="48" spans="1:28" s="19" customFormat="1" x14ac:dyDescent="0.3">
      <c r="A48" s="28">
        <v>62767</v>
      </c>
      <c r="B48" s="3">
        <v>23920</v>
      </c>
      <c r="C48" s="3">
        <v>7831</v>
      </c>
      <c r="D48" s="3">
        <v>28270</v>
      </c>
      <c r="E48" s="3">
        <v>2744</v>
      </c>
      <c r="F48" s="77">
        <v>1.625</v>
      </c>
      <c r="G48" s="77">
        <v>1.04</v>
      </c>
      <c r="H48" s="77">
        <v>1.546</v>
      </c>
      <c r="I48" s="77">
        <v>1.61</v>
      </c>
      <c r="J48" s="3">
        <v>21293</v>
      </c>
      <c r="K48" s="10" t="s">
        <v>84</v>
      </c>
      <c r="L48" s="1" t="s">
        <v>85</v>
      </c>
      <c r="M48" s="2">
        <v>0.94</v>
      </c>
      <c r="N48" s="22">
        <v>1.1319999999999999</v>
      </c>
      <c r="O48" s="22">
        <f>+MAX(Tabla4[[#This Row],[6KWA]:[9KWA]])</f>
        <v>1.625</v>
      </c>
      <c r="P48" s="3">
        <f t="shared" si="0"/>
        <v>16</v>
      </c>
      <c r="Q48" s="3">
        <f t="shared" si="1"/>
        <v>2</v>
      </c>
      <c r="R48" s="3">
        <f t="shared" si="2"/>
        <v>8</v>
      </c>
      <c r="S48" s="3" t="str">
        <f t="shared" si="3"/>
        <v>febrero</v>
      </c>
      <c r="T48" s="21">
        <f t="shared" si="4"/>
        <v>568.75</v>
      </c>
      <c r="U48" s="21">
        <f t="shared" si="5"/>
        <v>364</v>
      </c>
      <c r="V48" s="21">
        <f t="shared" si="6"/>
        <v>541.1</v>
      </c>
      <c r="W48" s="21">
        <f>+Tabla4[[#This Row],[9KWA]]*350</f>
        <v>563.5</v>
      </c>
      <c r="X48" s="21">
        <f>350*Tabla4[[#This Row],[Max Factor Medido]]</f>
        <v>568.75</v>
      </c>
      <c r="Y48" s="39">
        <v>0.92</v>
      </c>
      <c r="Z48" s="3">
        <f t="shared" si="7"/>
        <v>2025</v>
      </c>
      <c r="AA48" s="65">
        <f>+MEDIAN(Tabla4[[#This Row],[kwreal 6]:[kwreal 9]])</f>
        <v>552.29999999999995</v>
      </c>
      <c r="AB48" s="65">
        <f>+Tabla4[[#This Row],[LineaBase-FD]]/350</f>
        <v>1.5779999999999998</v>
      </c>
    </row>
    <row r="49" spans="1:28" x14ac:dyDescent="0.3">
      <c r="A49" s="28">
        <v>62809</v>
      </c>
      <c r="B49" s="3">
        <v>23928</v>
      </c>
      <c r="C49" s="3">
        <v>7831</v>
      </c>
      <c r="D49" s="3">
        <v>28286</v>
      </c>
      <c r="E49" s="3">
        <v>2744</v>
      </c>
      <c r="F49" s="77">
        <v>1.625</v>
      </c>
      <c r="G49" s="77">
        <v>1.04</v>
      </c>
      <c r="H49" s="77">
        <v>1.546</v>
      </c>
      <c r="I49" s="77">
        <v>1.61</v>
      </c>
      <c r="J49" s="3">
        <v>21300</v>
      </c>
      <c r="K49" s="10" t="s">
        <v>86</v>
      </c>
      <c r="L49" s="1" t="s">
        <v>87</v>
      </c>
      <c r="M49" s="2">
        <v>0.94</v>
      </c>
      <c r="N49" s="22">
        <v>1.1479999999999999</v>
      </c>
      <c r="O49" s="22">
        <f>+MAX(Tabla4[[#This Row],[6KWA]:[9KWA]])</f>
        <v>1.625</v>
      </c>
      <c r="P49" s="3">
        <f t="shared" si="0"/>
        <v>17</v>
      </c>
      <c r="Q49" s="3">
        <f t="shared" si="1"/>
        <v>2</v>
      </c>
      <c r="R49" s="3">
        <f t="shared" si="2"/>
        <v>8</v>
      </c>
      <c r="S49" s="3" t="str">
        <f t="shared" si="3"/>
        <v>febrero</v>
      </c>
      <c r="T49" s="21">
        <f t="shared" si="4"/>
        <v>568.75</v>
      </c>
      <c r="U49" s="21">
        <f t="shared" si="5"/>
        <v>364</v>
      </c>
      <c r="V49" s="21">
        <f t="shared" si="6"/>
        <v>541.1</v>
      </c>
      <c r="W49" s="21">
        <f>+Tabla4[[#This Row],[9KWA]]*350</f>
        <v>563.5</v>
      </c>
      <c r="X49" s="21">
        <f>350*Tabla4[[#This Row],[Max Factor Medido]]</f>
        <v>568.75</v>
      </c>
      <c r="Y49" s="39">
        <v>0.92</v>
      </c>
      <c r="Z49" s="3">
        <f t="shared" si="7"/>
        <v>2025</v>
      </c>
      <c r="AA49" s="21">
        <f>+MEDIAN(Tabla4[[#This Row],[kwreal 6]:[kwreal 9]])</f>
        <v>552.29999999999995</v>
      </c>
      <c r="AB49" s="21">
        <f>+Tabla4[[#This Row],[LineaBase-FD]]/350</f>
        <v>1.5779999999999998</v>
      </c>
    </row>
    <row r="50" spans="1:28" x14ac:dyDescent="0.3">
      <c r="A50" s="29">
        <v>62824</v>
      </c>
      <c r="B50" s="2">
        <v>23932</v>
      </c>
      <c r="C50" s="2">
        <v>7836</v>
      </c>
      <c r="D50" s="2">
        <v>28305</v>
      </c>
      <c r="E50" s="2">
        <v>2749</v>
      </c>
      <c r="F50" s="77">
        <v>1.625</v>
      </c>
      <c r="G50" s="77">
        <v>1.04</v>
      </c>
      <c r="H50" s="77">
        <v>1.546</v>
      </c>
      <c r="I50" s="77">
        <v>1.61</v>
      </c>
      <c r="J50" s="2">
        <v>31312</v>
      </c>
      <c r="K50" s="9" t="s">
        <v>88</v>
      </c>
      <c r="L50" s="4" t="s">
        <v>89</v>
      </c>
      <c r="M50" s="2">
        <v>0.95</v>
      </c>
      <c r="N50" s="22">
        <v>1.0309999999999999</v>
      </c>
      <c r="O50" s="22">
        <f>+MAX(Tabla4[[#This Row],[6KWA]:[9KWA]])</f>
        <v>1.625</v>
      </c>
      <c r="P50" s="3">
        <f t="shared" si="0"/>
        <v>18</v>
      </c>
      <c r="Q50" s="3">
        <f t="shared" si="1"/>
        <v>2</v>
      </c>
      <c r="R50" s="3">
        <f t="shared" si="2"/>
        <v>8</v>
      </c>
      <c r="S50" s="3" t="str">
        <f t="shared" si="3"/>
        <v>febrero</v>
      </c>
      <c r="T50" s="21">
        <f t="shared" si="4"/>
        <v>568.75</v>
      </c>
      <c r="U50" s="21">
        <f t="shared" si="5"/>
        <v>364</v>
      </c>
      <c r="V50" s="21">
        <f t="shared" si="6"/>
        <v>541.1</v>
      </c>
      <c r="W50" s="21">
        <f>+Tabla4[[#This Row],[9KWA]]*350</f>
        <v>563.5</v>
      </c>
      <c r="X50" s="21">
        <f>350*Tabla4[[#This Row],[Max Factor Medido]]</f>
        <v>568.75</v>
      </c>
      <c r="Y50" s="39">
        <v>0.92</v>
      </c>
      <c r="Z50" s="3">
        <f t="shared" si="7"/>
        <v>2025</v>
      </c>
      <c r="AA50" s="21">
        <f>+MEDIAN(Tabla4[[#This Row],[kwreal 6]:[kwreal 9]])</f>
        <v>552.29999999999995</v>
      </c>
      <c r="AB50" s="21">
        <f>+Tabla4[[#This Row],[LineaBase-FD]]/350</f>
        <v>1.5779999999999998</v>
      </c>
    </row>
    <row r="51" spans="1:28" x14ac:dyDescent="0.3">
      <c r="A51" s="29">
        <v>62853</v>
      </c>
      <c r="B51" s="2">
        <v>23945</v>
      </c>
      <c r="C51" s="2">
        <v>7841</v>
      </c>
      <c r="D51" s="2">
        <v>28306</v>
      </c>
      <c r="E51" s="2">
        <v>2749</v>
      </c>
      <c r="F51" s="77">
        <v>1.625</v>
      </c>
      <c r="G51" s="77">
        <v>1.04</v>
      </c>
      <c r="H51" s="77">
        <v>1.546</v>
      </c>
      <c r="I51" s="77">
        <v>1.61</v>
      </c>
      <c r="J51" s="2">
        <v>31323</v>
      </c>
      <c r="K51" s="9" t="s">
        <v>33</v>
      </c>
      <c r="L51" s="4" t="s">
        <v>90</v>
      </c>
      <c r="M51" s="2">
        <v>0.94</v>
      </c>
      <c r="N51" s="22">
        <v>11.26</v>
      </c>
      <c r="O51" s="22">
        <f>+MAX(Tabla4[[#This Row],[6KWA]:[9KWA]])</f>
        <v>1.625</v>
      </c>
      <c r="P51" s="3">
        <f t="shared" si="0"/>
        <v>19</v>
      </c>
      <c r="Q51" s="3">
        <f t="shared" si="1"/>
        <v>2</v>
      </c>
      <c r="R51" s="3">
        <f t="shared" si="2"/>
        <v>8</v>
      </c>
      <c r="S51" s="3" t="str">
        <f t="shared" si="3"/>
        <v>febrero</v>
      </c>
      <c r="T51" s="21">
        <f t="shared" si="4"/>
        <v>568.75</v>
      </c>
      <c r="U51" s="21">
        <f t="shared" si="5"/>
        <v>364</v>
      </c>
      <c r="V51" s="21">
        <f t="shared" si="6"/>
        <v>541.1</v>
      </c>
      <c r="W51" s="21">
        <f>+Tabla4[[#This Row],[9KWA]]*350</f>
        <v>563.5</v>
      </c>
      <c r="X51" s="21">
        <f>350*Tabla4[[#This Row],[Max Factor Medido]]</f>
        <v>568.75</v>
      </c>
      <c r="Y51" s="39">
        <v>0.92</v>
      </c>
      <c r="Z51" s="3">
        <f t="shared" si="7"/>
        <v>2025</v>
      </c>
      <c r="AA51" s="21">
        <f>+MEDIAN(Tabla4[[#This Row],[kwreal 6]:[kwreal 9]])</f>
        <v>552.29999999999995</v>
      </c>
      <c r="AB51" s="21">
        <f>+Tabla4[[#This Row],[LineaBase-FD]]/350</f>
        <v>1.5779999999999998</v>
      </c>
    </row>
    <row r="52" spans="1:28" x14ac:dyDescent="0.3">
      <c r="A52" s="28">
        <v>62883</v>
      </c>
      <c r="B52" s="3">
        <v>23958</v>
      </c>
      <c r="C52" s="3">
        <v>7846</v>
      </c>
      <c r="D52" s="3">
        <v>28328</v>
      </c>
      <c r="E52" s="3">
        <v>2749</v>
      </c>
      <c r="F52" s="77">
        <v>1.625</v>
      </c>
      <c r="G52" s="77">
        <v>1.0489999999999999</v>
      </c>
      <c r="H52" s="77">
        <v>1.546</v>
      </c>
      <c r="I52" s="77">
        <v>1.61</v>
      </c>
      <c r="J52" s="3">
        <v>3133</v>
      </c>
      <c r="K52" s="10" t="s">
        <v>84</v>
      </c>
      <c r="L52" s="1" t="s">
        <v>91</v>
      </c>
      <c r="M52" s="2">
        <v>0.92</v>
      </c>
      <c r="N52" s="22">
        <v>1.165</v>
      </c>
      <c r="O52" s="22">
        <f>+MAX(Tabla4[[#This Row],[6KWA]:[9KWA]])</f>
        <v>1.625</v>
      </c>
      <c r="P52" s="3">
        <f t="shared" si="0"/>
        <v>20</v>
      </c>
      <c r="Q52" s="3">
        <f t="shared" si="1"/>
        <v>2</v>
      </c>
      <c r="R52" s="3">
        <f t="shared" si="2"/>
        <v>8</v>
      </c>
      <c r="S52" s="3" t="str">
        <f t="shared" si="3"/>
        <v>febrero</v>
      </c>
      <c r="T52" s="21">
        <f t="shared" si="4"/>
        <v>568.75</v>
      </c>
      <c r="U52" s="21">
        <f t="shared" si="5"/>
        <v>367.15</v>
      </c>
      <c r="V52" s="21">
        <f t="shared" si="6"/>
        <v>541.1</v>
      </c>
      <c r="W52" s="21">
        <f>+Tabla4[[#This Row],[9KWA]]*350</f>
        <v>563.5</v>
      </c>
      <c r="X52" s="21">
        <f>350*Tabla4[[#This Row],[Max Factor Medido]]</f>
        <v>568.75</v>
      </c>
      <c r="Y52" s="39">
        <v>0.92</v>
      </c>
      <c r="Z52" s="3">
        <f t="shared" si="7"/>
        <v>2025</v>
      </c>
      <c r="AA52" s="21">
        <f>+MEDIAN(Tabla4[[#This Row],[kwreal 6]:[kwreal 9]])</f>
        <v>552.29999999999995</v>
      </c>
      <c r="AB52" s="21">
        <f>+Tabla4[[#This Row],[LineaBase-FD]]/350</f>
        <v>1.5779999999999998</v>
      </c>
    </row>
    <row r="53" spans="1:28" x14ac:dyDescent="0.3">
      <c r="A53" s="28">
        <v>62913</v>
      </c>
      <c r="B53" s="3">
        <v>23970</v>
      </c>
      <c r="C53" s="3">
        <v>7851</v>
      </c>
      <c r="D53" s="3">
        <v>28341</v>
      </c>
      <c r="E53" s="3">
        <v>2749</v>
      </c>
      <c r="F53" s="77">
        <v>1.625</v>
      </c>
      <c r="G53" s="77">
        <v>1.137</v>
      </c>
      <c r="H53" s="77">
        <v>1.546</v>
      </c>
      <c r="I53" s="77">
        <v>1.61</v>
      </c>
      <c r="J53" s="3">
        <v>21344</v>
      </c>
      <c r="K53" s="10" t="s">
        <v>92</v>
      </c>
      <c r="L53" s="1" t="s">
        <v>93</v>
      </c>
      <c r="M53" s="2">
        <v>0.92</v>
      </c>
      <c r="N53" s="22">
        <v>1.3009999999999999</v>
      </c>
      <c r="O53" s="22">
        <f>+MAX(Tabla4[[#This Row],[6KWA]:[9KWA]])</f>
        <v>1.625</v>
      </c>
      <c r="P53" s="3">
        <f t="shared" si="0"/>
        <v>21</v>
      </c>
      <c r="Q53" s="3">
        <f t="shared" si="1"/>
        <v>2</v>
      </c>
      <c r="R53" s="3">
        <f t="shared" si="2"/>
        <v>8</v>
      </c>
      <c r="S53" s="3" t="str">
        <f t="shared" si="3"/>
        <v>febrero</v>
      </c>
      <c r="T53" s="21">
        <f t="shared" si="4"/>
        <v>568.75</v>
      </c>
      <c r="U53" s="21">
        <f t="shared" si="5"/>
        <v>397.95</v>
      </c>
      <c r="V53" s="21">
        <f t="shared" si="6"/>
        <v>541.1</v>
      </c>
      <c r="W53" s="21">
        <f>+Tabla4[[#This Row],[9KWA]]*350</f>
        <v>563.5</v>
      </c>
      <c r="X53" s="21">
        <f>350*Tabla4[[#This Row],[Max Factor Medido]]</f>
        <v>568.75</v>
      </c>
      <c r="Y53" s="39">
        <v>0.92</v>
      </c>
      <c r="Z53" s="3">
        <f t="shared" si="7"/>
        <v>2025</v>
      </c>
      <c r="AA53" s="21">
        <f>+MEDIAN(Tabla4[[#This Row],[kwreal 6]:[kwreal 9]])</f>
        <v>552.29999999999995</v>
      </c>
      <c r="AB53" s="21">
        <f>+Tabla4[[#This Row],[LineaBase-FD]]/350</f>
        <v>1.5779999999999998</v>
      </c>
    </row>
    <row r="54" spans="1:28" x14ac:dyDescent="0.3">
      <c r="A54" s="28">
        <v>62943</v>
      </c>
      <c r="B54" s="3">
        <v>23984</v>
      </c>
      <c r="C54" s="3">
        <v>7856</v>
      </c>
      <c r="D54" s="3">
        <v>28353</v>
      </c>
      <c r="E54" s="3">
        <v>2749</v>
      </c>
      <c r="F54" s="77">
        <v>1.625</v>
      </c>
      <c r="G54" s="77">
        <v>1.149</v>
      </c>
      <c r="H54" s="77">
        <v>1.546</v>
      </c>
      <c r="I54" s="77">
        <v>1.61</v>
      </c>
      <c r="J54" s="3">
        <v>21356</v>
      </c>
      <c r="K54" s="10" t="s">
        <v>94</v>
      </c>
      <c r="L54" s="1" t="s">
        <v>95</v>
      </c>
      <c r="M54" s="2">
        <v>0.93</v>
      </c>
      <c r="N54" s="22">
        <v>1.4370000000000001</v>
      </c>
      <c r="O54" s="22">
        <f>+MAX(Tabla4[[#This Row],[6KWA]:[9KWA]])</f>
        <v>1.625</v>
      </c>
      <c r="P54" s="3">
        <f t="shared" si="0"/>
        <v>22</v>
      </c>
      <c r="Q54" s="3">
        <f t="shared" si="1"/>
        <v>2</v>
      </c>
      <c r="R54" s="3">
        <f t="shared" si="2"/>
        <v>8</v>
      </c>
      <c r="S54" s="3" t="str">
        <f t="shared" si="3"/>
        <v>febrero</v>
      </c>
      <c r="T54" s="21">
        <f t="shared" si="4"/>
        <v>568.75</v>
      </c>
      <c r="U54" s="21">
        <f t="shared" si="5"/>
        <v>402.15000000000003</v>
      </c>
      <c r="V54" s="21">
        <f t="shared" si="6"/>
        <v>541.1</v>
      </c>
      <c r="W54" s="21">
        <f>+Tabla4[[#This Row],[9KWA]]*350</f>
        <v>563.5</v>
      </c>
      <c r="X54" s="21">
        <f>350*Tabla4[[#This Row],[Max Factor Medido]]</f>
        <v>568.75</v>
      </c>
      <c r="Y54" s="39">
        <v>0.92</v>
      </c>
      <c r="Z54" s="3">
        <f t="shared" si="7"/>
        <v>2025</v>
      </c>
      <c r="AA54" s="21">
        <f>+MEDIAN(Tabla4[[#This Row],[kwreal 6]:[kwreal 9]])</f>
        <v>552.29999999999995</v>
      </c>
      <c r="AB54" s="21">
        <f>+Tabla4[[#This Row],[LineaBase-FD]]/350</f>
        <v>1.5779999999999998</v>
      </c>
    </row>
    <row r="55" spans="1:28" x14ac:dyDescent="0.3">
      <c r="A55" s="28">
        <v>62968</v>
      </c>
      <c r="B55" s="3">
        <v>23986</v>
      </c>
      <c r="C55" s="3">
        <v>7856</v>
      </c>
      <c r="D55" s="3">
        <v>28385</v>
      </c>
      <c r="E55" s="3">
        <v>2749</v>
      </c>
      <c r="F55" s="77">
        <v>1.625</v>
      </c>
      <c r="G55" s="77">
        <v>1.149</v>
      </c>
      <c r="H55" s="77">
        <v>1.546</v>
      </c>
      <c r="I55" s="77">
        <v>1.61</v>
      </c>
      <c r="J55" s="3">
        <v>21460</v>
      </c>
      <c r="K55" s="10" t="s">
        <v>96</v>
      </c>
      <c r="L55" s="1" t="s">
        <v>97</v>
      </c>
      <c r="M55" s="2">
        <v>0.93</v>
      </c>
      <c r="N55" s="22">
        <v>1.04</v>
      </c>
      <c r="O55" s="22">
        <f>+MAX(Tabla4[[#This Row],[6KWA]:[9KWA]])</f>
        <v>1.625</v>
      </c>
      <c r="P55" s="3">
        <f t="shared" si="0"/>
        <v>23</v>
      </c>
      <c r="Q55" s="3">
        <f t="shared" si="1"/>
        <v>2</v>
      </c>
      <c r="R55" s="3">
        <f t="shared" si="2"/>
        <v>9</v>
      </c>
      <c r="S55" s="3" t="str">
        <f t="shared" si="3"/>
        <v>febrero</v>
      </c>
      <c r="T55" s="21">
        <f t="shared" si="4"/>
        <v>568.75</v>
      </c>
      <c r="U55" s="21">
        <f t="shared" si="5"/>
        <v>402.15000000000003</v>
      </c>
      <c r="V55" s="21">
        <f t="shared" si="6"/>
        <v>541.1</v>
      </c>
      <c r="W55" s="21">
        <f>+Tabla4[[#This Row],[9KWA]]*350</f>
        <v>563.5</v>
      </c>
      <c r="X55" s="21">
        <f>350*Tabla4[[#This Row],[Max Factor Medido]]</f>
        <v>568.75</v>
      </c>
      <c r="Y55" s="39">
        <v>0.92</v>
      </c>
      <c r="Z55" s="3">
        <f t="shared" si="7"/>
        <v>2025</v>
      </c>
      <c r="AA55" s="21">
        <f>+MEDIAN(Tabla4[[#This Row],[kwreal 6]:[kwreal 9]])</f>
        <v>552.29999999999995</v>
      </c>
      <c r="AB55" s="21">
        <f>+Tabla4[[#This Row],[LineaBase-FD]]/350</f>
        <v>1.5779999999999998</v>
      </c>
    </row>
    <row r="56" spans="1:28" x14ac:dyDescent="0.3">
      <c r="A56" s="28">
        <v>63006</v>
      </c>
      <c r="B56" s="3">
        <v>23989</v>
      </c>
      <c r="C56" s="3">
        <v>7856</v>
      </c>
      <c r="D56" s="3">
        <v>28401</v>
      </c>
      <c r="E56" s="3">
        <v>2759</v>
      </c>
      <c r="F56" s="77">
        <v>1.625</v>
      </c>
      <c r="G56" s="77">
        <v>1.3879999999999999</v>
      </c>
      <c r="H56" s="77">
        <v>1.546</v>
      </c>
      <c r="I56" s="77">
        <v>1.61</v>
      </c>
      <c r="J56" s="3">
        <v>21380</v>
      </c>
      <c r="K56" s="10" t="s">
        <v>98</v>
      </c>
      <c r="L56" s="1" t="s">
        <v>99</v>
      </c>
      <c r="M56" s="2">
        <v>0.94</v>
      </c>
      <c r="N56" s="22">
        <v>1.3879999999999999</v>
      </c>
      <c r="O56" s="22">
        <f>+MAX(Tabla4[[#This Row],[6KWA]:[9KWA]])</f>
        <v>1.625</v>
      </c>
      <c r="P56" s="3">
        <f t="shared" si="0"/>
        <v>24</v>
      </c>
      <c r="Q56" s="3">
        <f t="shared" si="1"/>
        <v>2</v>
      </c>
      <c r="R56" s="3">
        <f t="shared" si="2"/>
        <v>9</v>
      </c>
      <c r="S56" s="3" t="str">
        <f t="shared" si="3"/>
        <v>febrero</v>
      </c>
      <c r="T56" s="21">
        <f t="shared" si="4"/>
        <v>568.75</v>
      </c>
      <c r="U56" s="21">
        <f t="shared" si="5"/>
        <v>485.79999999999995</v>
      </c>
      <c r="V56" s="21">
        <f t="shared" si="6"/>
        <v>541.1</v>
      </c>
      <c r="W56" s="21">
        <f>+Tabla4[[#This Row],[9KWA]]*350</f>
        <v>563.5</v>
      </c>
      <c r="X56" s="21">
        <f>350*Tabla4[[#This Row],[Max Factor Medido]]</f>
        <v>568.75</v>
      </c>
      <c r="Y56" s="39">
        <v>0.92</v>
      </c>
      <c r="Z56" s="3">
        <f t="shared" si="7"/>
        <v>2025</v>
      </c>
      <c r="AA56" s="21">
        <f>+MEDIAN(Tabla4[[#This Row],[kwreal 6]:[kwreal 9]])</f>
        <v>552.29999999999995</v>
      </c>
      <c r="AB56" s="21">
        <f>+Tabla4[[#This Row],[LineaBase-FD]]/350</f>
        <v>1.5779999999999998</v>
      </c>
    </row>
    <row r="57" spans="1:28" x14ac:dyDescent="0.3">
      <c r="A57" s="28">
        <v>63034</v>
      </c>
      <c r="B57" s="3">
        <v>24000</v>
      </c>
      <c r="C57" s="3">
        <v>7862</v>
      </c>
      <c r="D57" s="3">
        <v>28413</v>
      </c>
      <c r="E57" s="3">
        <v>2759</v>
      </c>
      <c r="F57" s="77">
        <v>1.625</v>
      </c>
      <c r="G57" s="77">
        <v>1.3879999999999999</v>
      </c>
      <c r="H57" s="77">
        <v>1.546</v>
      </c>
      <c r="I57" s="77">
        <v>1.61</v>
      </c>
      <c r="J57" s="3">
        <v>21390</v>
      </c>
      <c r="K57" s="10" t="s">
        <v>100</v>
      </c>
      <c r="L57" s="1" t="s">
        <v>101</v>
      </c>
      <c r="M57" s="2">
        <v>0.95</v>
      </c>
      <c r="N57" s="22">
        <v>1.248</v>
      </c>
      <c r="O57" s="22">
        <f>+MAX(Tabla4[[#This Row],[6KWA]:[9KWA]])</f>
        <v>1.625</v>
      </c>
      <c r="P57" s="3">
        <f t="shared" si="0"/>
        <v>25</v>
      </c>
      <c r="Q57" s="3">
        <f t="shared" si="1"/>
        <v>2</v>
      </c>
      <c r="R57" s="3">
        <f t="shared" si="2"/>
        <v>9</v>
      </c>
      <c r="S57" s="3" t="str">
        <f t="shared" si="3"/>
        <v>febrero</v>
      </c>
      <c r="T57" s="21">
        <f t="shared" si="4"/>
        <v>568.75</v>
      </c>
      <c r="U57" s="21">
        <f t="shared" si="5"/>
        <v>485.79999999999995</v>
      </c>
      <c r="V57" s="21">
        <f t="shared" si="6"/>
        <v>541.1</v>
      </c>
      <c r="W57" s="21">
        <f>+Tabla4[[#This Row],[9KWA]]*350</f>
        <v>563.5</v>
      </c>
      <c r="X57" s="21">
        <f>350*Tabla4[[#This Row],[Max Factor Medido]]</f>
        <v>568.75</v>
      </c>
      <c r="Y57" s="39">
        <v>0.92</v>
      </c>
      <c r="Z57" s="3">
        <f t="shared" si="7"/>
        <v>2025</v>
      </c>
      <c r="AA57" s="21">
        <f>+MEDIAN(Tabla4[[#This Row],[kwreal 6]:[kwreal 9]])</f>
        <v>552.29999999999995</v>
      </c>
      <c r="AB57" s="21">
        <f>+Tabla4[[#This Row],[LineaBase-FD]]/350</f>
        <v>1.5779999999999998</v>
      </c>
    </row>
    <row r="58" spans="1:28" x14ac:dyDescent="0.3">
      <c r="A58" s="28">
        <v>63061</v>
      </c>
      <c r="B58" s="3">
        <v>24010</v>
      </c>
      <c r="C58" s="3">
        <v>7867</v>
      </c>
      <c r="D58" s="3">
        <v>28424</v>
      </c>
      <c r="E58" s="3">
        <v>2759</v>
      </c>
      <c r="F58" s="77">
        <v>1.625</v>
      </c>
      <c r="G58" s="77">
        <v>1.3879999999999999</v>
      </c>
      <c r="H58" s="77">
        <v>1.546</v>
      </c>
      <c r="I58" s="77">
        <v>1.61</v>
      </c>
      <c r="J58" s="3">
        <v>21400</v>
      </c>
      <c r="K58" s="10" t="s">
        <v>102</v>
      </c>
      <c r="L58" s="1" t="s">
        <v>103</v>
      </c>
      <c r="M58" s="2">
        <v>0.94</v>
      </c>
      <c r="N58" s="22">
        <v>1.1259999999999999</v>
      </c>
      <c r="O58" s="22">
        <f>+MAX(Tabla4[[#This Row],[6KWA]:[9KWA]])</f>
        <v>1.625</v>
      </c>
      <c r="P58" s="3">
        <f t="shared" si="0"/>
        <v>26</v>
      </c>
      <c r="Q58" s="3">
        <f t="shared" si="1"/>
        <v>2</v>
      </c>
      <c r="R58" s="3">
        <f t="shared" si="2"/>
        <v>9</v>
      </c>
      <c r="S58" s="3" t="str">
        <f t="shared" si="3"/>
        <v>febrero</v>
      </c>
      <c r="T58" s="21">
        <f t="shared" si="4"/>
        <v>568.75</v>
      </c>
      <c r="U58" s="21">
        <f t="shared" si="5"/>
        <v>485.79999999999995</v>
      </c>
      <c r="V58" s="21">
        <f t="shared" si="6"/>
        <v>541.1</v>
      </c>
      <c r="W58" s="21">
        <f>+Tabla4[[#This Row],[9KWA]]*350</f>
        <v>563.5</v>
      </c>
      <c r="X58" s="21">
        <f>350*Tabla4[[#This Row],[Max Factor Medido]]</f>
        <v>568.75</v>
      </c>
      <c r="Y58" s="39">
        <v>0.92</v>
      </c>
      <c r="Z58" s="3">
        <f t="shared" si="7"/>
        <v>2025</v>
      </c>
      <c r="AA58" s="21">
        <f>+MEDIAN(Tabla4[[#This Row],[kwreal 6]:[kwreal 9]])</f>
        <v>552.29999999999995</v>
      </c>
      <c r="AB58" s="21">
        <f>+Tabla4[[#This Row],[LineaBase-FD]]/350</f>
        <v>1.5779999999999998</v>
      </c>
    </row>
    <row r="59" spans="1:28" x14ac:dyDescent="0.3">
      <c r="A59" s="28">
        <v>63091</v>
      </c>
      <c r="B59" s="3">
        <v>24023</v>
      </c>
      <c r="C59" s="3">
        <v>7872</v>
      </c>
      <c r="D59" s="3">
        <v>28436</v>
      </c>
      <c r="E59" s="3">
        <v>2759</v>
      </c>
      <c r="F59" s="77">
        <v>1.625</v>
      </c>
      <c r="G59" s="77">
        <v>1.3879999999999999</v>
      </c>
      <c r="H59" s="77">
        <v>1.546</v>
      </c>
      <c r="I59" s="77">
        <v>1.61</v>
      </c>
      <c r="J59" s="3">
        <v>21411</v>
      </c>
      <c r="K59" s="10" t="s">
        <v>104</v>
      </c>
      <c r="L59" s="1" t="s">
        <v>105</v>
      </c>
      <c r="M59" s="2">
        <v>0.95</v>
      </c>
      <c r="N59" s="22">
        <v>1.1879999999999999</v>
      </c>
      <c r="O59" s="22">
        <f>+MAX(Tabla4[[#This Row],[6KWA]:[9KWA]])</f>
        <v>1.625</v>
      </c>
      <c r="P59" s="3">
        <f t="shared" si="0"/>
        <v>27</v>
      </c>
      <c r="Q59" s="3">
        <f t="shared" si="1"/>
        <v>2</v>
      </c>
      <c r="R59" s="3">
        <f t="shared" si="2"/>
        <v>9</v>
      </c>
      <c r="S59" s="3" t="str">
        <f t="shared" si="3"/>
        <v>febrero</v>
      </c>
      <c r="T59" s="21">
        <f t="shared" si="4"/>
        <v>568.75</v>
      </c>
      <c r="U59" s="21">
        <f t="shared" si="5"/>
        <v>485.79999999999995</v>
      </c>
      <c r="V59" s="21">
        <f t="shared" si="6"/>
        <v>541.1</v>
      </c>
      <c r="W59" s="21">
        <f>+Tabla4[[#This Row],[9KWA]]*350</f>
        <v>563.5</v>
      </c>
      <c r="X59" s="21">
        <f>350*Tabla4[[#This Row],[Max Factor Medido]]</f>
        <v>568.75</v>
      </c>
      <c r="Y59" s="39">
        <v>0.92</v>
      </c>
      <c r="Z59" s="3">
        <f t="shared" si="7"/>
        <v>2025</v>
      </c>
      <c r="AA59" s="21">
        <f>+MEDIAN(Tabla4[[#This Row],[kwreal 6]:[kwreal 9]])</f>
        <v>552.29999999999995</v>
      </c>
      <c r="AB59" s="21">
        <f>+Tabla4[[#This Row],[LineaBase-FD]]/350</f>
        <v>1.5779999999999998</v>
      </c>
    </row>
    <row r="60" spans="1:28" x14ac:dyDescent="0.3">
      <c r="A60" s="28">
        <v>63121</v>
      </c>
      <c r="B60" s="3">
        <v>24036</v>
      </c>
      <c r="C60" s="3">
        <v>7877</v>
      </c>
      <c r="D60" s="3">
        <v>28448</v>
      </c>
      <c r="E60" s="3">
        <v>2759</v>
      </c>
      <c r="F60" s="77">
        <v>1.625</v>
      </c>
      <c r="G60" s="77">
        <v>1.3879999999999999</v>
      </c>
      <c r="H60" s="77">
        <v>1.446</v>
      </c>
      <c r="I60" s="77">
        <v>1.61</v>
      </c>
      <c r="J60" s="3">
        <v>21421</v>
      </c>
      <c r="K60" s="10" t="s">
        <v>106</v>
      </c>
      <c r="L60" s="1" t="s">
        <v>107</v>
      </c>
      <c r="M60" s="2">
        <v>0.93</v>
      </c>
      <c r="N60" s="22">
        <v>1.1040000000000001</v>
      </c>
      <c r="O60" s="22">
        <f>+MAX(Tabla4[[#This Row],[6KWA]:[9KWA]])</f>
        <v>1.625</v>
      </c>
      <c r="P60" s="3">
        <f t="shared" si="0"/>
        <v>28</v>
      </c>
      <c r="Q60" s="3">
        <f t="shared" si="1"/>
        <v>2</v>
      </c>
      <c r="R60" s="3">
        <f t="shared" si="2"/>
        <v>9</v>
      </c>
      <c r="S60" s="3" t="str">
        <f t="shared" si="3"/>
        <v>febrero</v>
      </c>
      <c r="T60" s="21">
        <f t="shared" si="4"/>
        <v>568.75</v>
      </c>
      <c r="U60" s="21">
        <f t="shared" si="5"/>
        <v>485.79999999999995</v>
      </c>
      <c r="V60" s="21">
        <f t="shared" si="6"/>
        <v>506.09999999999997</v>
      </c>
      <c r="W60" s="21">
        <f>+Tabla4[[#This Row],[9KWA]]*350</f>
        <v>563.5</v>
      </c>
      <c r="X60" s="21">
        <f>350*Tabla4[[#This Row],[Max Factor Medido]]</f>
        <v>568.75</v>
      </c>
      <c r="Y60" s="39">
        <v>0.92</v>
      </c>
      <c r="Z60" s="3">
        <f t="shared" si="7"/>
        <v>2025</v>
      </c>
      <c r="AA60" s="21">
        <f>+MEDIAN(Tabla4[[#This Row],[kwreal 6]:[kwreal 9]])</f>
        <v>534.79999999999995</v>
      </c>
      <c r="AB60" s="21">
        <f>+Tabla4[[#This Row],[LineaBase-FD]]/350</f>
        <v>1.5279999999999998</v>
      </c>
    </row>
    <row r="61" spans="1:28" x14ac:dyDescent="0.3">
      <c r="A61" s="28">
        <v>53150</v>
      </c>
      <c r="B61" s="3">
        <v>24048</v>
      </c>
      <c r="C61" s="3">
        <v>7882</v>
      </c>
      <c r="D61" s="3">
        <v>28460</v>
      </c>
      <c r="E61" s="3">
        <v>2759</v>
      </c>
      <c r="F61" s="77">
        <v>0</v>
      </c>
      <c r="G61" s="77">
        <v>0</v>
      </c>
      <c r="H61" s="77">
        <v>1.3740000000000001</v>
      </c>
      <c r="I61" s="77">
        <v>0</v>
      </c>
      <c r="J61" s="3">
        <v>21432</v>
      </c>
      <c r="K61" s="10" t="s">
        <v>88</v>
      </c>
      <c r="L61" s="1">
        <v>45660</v>
      </c>
      <c r="M61" s="3">
        <v>0.93</v>
      </c>
      <c r="N61" s="67">
        <v>1.153</v>
      </c>
      <c r="O61" s="22">
        <f>+MAX(Tabla4[[#This Row],[6KWA]:[9KWA]])</f>
        <v>1.3740000000000001</v>
      </c>
      <c r="P61" s="3">
        <f t="shared" si="0"/>
        <v>3</v>
      </c>
      <c r="Q61" s="3">
        <f t="shared" si="1"/>
        <v>1</v>
      </c>
      <c r="R61" s="3">
        <f t="shared" si="2"/>
        <v>1</v>
      </c>
      <c r="S61" s="3" t="str">
        <f t="shared" si="3"/>
        <v>enero</v>
      </c>
      <c r="T61" s="21">
        <f t="shared" si="4"/>
        <v>0</v>
      </c>
      <c r="U61" s="21">
        <f t="shared" si="5"/>
        <v>0</v>
      </c>
      <c r="V61" s="21">
        <f t="shared" si="6"/>
        <v>480.90000000000003</v>
      </c>
      <c r="W61" s="21">
        <f>+Tabla4[[#This Row],[9KWA]]*350</f>
        <v>0</v>
      </c>
      <c r="X61" s="21">
        <f>350*Tabla4[[#This Row],[Max Factor Medido]]</f>
        <v>480.90000000000003</v>
      </c>
      <c r="Y61" s="39">
        <v>0.92</v>
      </c>
      <c r="Z61" s="3">
        <f t="shared" si="7"/>
        <v>2025</v>
      </c>
      <c r="AA61" s="74">
        <f>+MEDIAN(Tabla4[[#This Row],[kwreal 6]:[kwreal 9]])</f>
        <v>0</v>
      </c>
      <c r="AB61" s="74">
        <f>+Tabla4[[#This Row],[LineaBase-FD]]/350</f>
        <v>0</v>
      </c>
    </row>
    <row r="62" spans="1:28" x14ac:dyDescent="0.3">
      <c r="A62" s="29">
        <v>63181</v>
      </c>
      <c r="B62" s="2">
        <v>24048</v>
      </c>
      <c r="C62" s="2">
        <v>7882</v>
      </c>
      <c r="D62" s="2">
        <v>28485</v>
      </c>
      <c r="E62" s="2">
        <v>2764</v>
      </c>
      <c r="F62" s="77">
        <v>0</v>
      </c>
      <c r="G62" s="77">
        <v>0</v>
      </c>
      <c r="H62" s="77">
        <v>1.5129999999999999</v>
      </c>
      <c r="I62" s="77">
        <v>1.4610000000000001</v>
      </c>
      <c r="J62" s="2">
        <v>21443</v>
      </c>
      <c r="K62" s="9" t="s">
        <v>108</v>
      </c>
      <c r="L62" s="4">
        <v>45691</v>
      </c>
      <c r="M62" s="2">
        <v>0.94</v>
      </c>
      <c r="N62" s="22">
        <v>1.339</v>
      </c>
      <c r="O62" s="22">
        <f>+MAX(Tabla4[[#This Row],[6KWA]:[9KWA]])</f>
        <v>1.5129999999999999</v>
      </c>
      <c r="P62" s="3">
        <f t="shared" si="0"/>
        <v>3</v>
      </c>
      <c r="Q62" s="3">
        <f t="shared" si="1"/>
        <v>2</v>
      </c>
      <c r="R62" s="3">
        <f t="shared" si="2"/>
        <v>6</v>
      </c>
      <c r="S62" s="3" t="str">
        <f t="shared" si="3"/>
        <v>febrero</v>
      </c>
      <c r="T62" s="21">
        <f t="shared" si="4"/>
        <v>0</v>
      </c>
      <c r="U62" s="21">
        <f t="shared" si="5"/>
        <v>0</v>
      </c>
      <c r="V62" s="21">
        <f t="shared" si="6"/>
        <v>529.54999999999995</v>
      </c>
      <c r="W62" s="21">
        <f>+Tabla4[[#This Row],[9KWA]]*350</f>
        <v>511.35</v>
      </c>
      <c r="X62" s="21">
        <f>350*Tabla4[[#This Row],[Max Factor Medido]]</f>
        <v>529.54999999999995</v>
      </c>
      <c r="Y62" s="39">
        <v>0.92</v>
      </c>
      <c r="Z62" s="3">
        <f t="shared" si="7"/>
        <v>2025</v>
      </c>
      <c r="AA62" s="21">
        <f>+MEDIAN(Tabla4[[#This Row],[kwreal 6]:[kwreal 9]])</f>
        <v>255.67500000000001</v>
      </c>
      <c r="AB62" s="21">
        <f>+Tabla4[[#This Row],[LineaBase-FD]]/350</f>
        <v>0.73050000000000004</v>
      </c>
    </row>
    <row r="63" spans="1:28" x14ac:dyDescent="0.3">
      <c r="A63" s="28">
        <v>63214</v>
      </c>
      <c r="B63" s="3">
        <v>24051</v>
      </c>
      <c r="C63" s="3">
        <v>7882</v>
      </c>
      <c r="D63" s="3">
        <v>28511</v>
      </c>
      <c r="E63" s="3">
        <v>2769</v>
      </c>
      <c r="F63" s="77">
        <v>1.113</v>
      </c>
      <c r="G63" s="77">
        <v>0</v>
      </c>
      <c r="H63" s="77">
        <v>1.5129999999999999</v>
      </c>
      <c r="I63" s="77">
        <v>1.5029999999999999</v>
      </c>
      <c r="J63" s="3">
        <v>21457</v>
      </c>
      <c r="K63" s="10" t="s">
        <v>109</v>
      </c>
      <c r="L63" s="1">
        <v>45719</v>
      </c>
      <c r="M63" s="3">
        <v>0.9</v>
      </c>
      <c r="N63" s="22">
        <v>1.214</v>
      </c>
      <c r="O63" s="22">
        <f>+MAX(Tabla4[[#This Row],[6KWA]:[9KWA]])</f>
        <v>1.5129999999999999</v>
      </c>
      <c r="P63" s="3">
        <f t="shared" si="0"/>
        <v>3</v>
      </c>
      <c r="Q63" s="3">
        <f t="shared" si="1"/>
        <v>3</v>
      </c>
      <c r="R63" s="3">
        <f t="shared" si="2"/>
        <v>10</v>
      </c>
      <c r="S63" s="3" t="str">
        <f t="shared" si="3"/>
        <v>marzo</v>
      </c>
      <c r="T63" s="21">
        <f t="shared" si="4"/>
        <v>389.55</v>
      </c>
      <c r="U63" s="21">
        <f t="shared" si="5"/>
        <v>0</v>
      </c>
      <c r="V63" s="21">
        <f t="shared" si="6"/>
        <v>529.54999999999995</v>
      </c>
      <c r="W63" s="21">
        <f>+Tabla4[[#This Row],[9KWA]]*350</f>
        <v>526.04999999999995</v>
      </c>
      <c r="X63" s="21">
        <f>350*Tabla4[[#This Row],[Max Factor Medido]]</f>
        <v>529.54999999999995</v>
      </c>
      <c r="Y63" s="39">
        <v>0.92</v>
      </c>
      <c r="Z63" s="3">
        <f t="shared" si="7"/>
        <v>2025</v>
      </c>
      <c r="AA63" s="21">
        <f>+MEDIAN(Tabla4[[#This Row],[kwreal 6]:[kwreal 9]])</f>
        <v>457.79999999999995</v>
      </c>
      <c r="AB63" s="21">
        <f>+Tabla4[[#This Row],[LineaBase-FD]]/350</f>
        <v>1.3079999999999998</v>
      </c>
    </row>
    <row r="64" spans="1:28" x14ac:dyDescent="0.3">
      <c r="A64" s="29">
        <v>63240</v>
      </c>
      <c r="B64" s="2">
        <v>24061</v>
      </c>
      <c r="C64" s="2">
        <v>7887</v>
      </c>
      <c r="D64" s="2">
        <v>28522</v>
      </c>
      <c r="E64" s="2">
        <v>2769</v>
      </c>
      <c r="F64" s="77">
        <v>1.5409999999999999</v>
      </c>
      <c r="G64" s="77">
        <v>1.2869999999999999</v>
      </c>
      <c r="H64" s="77">
        <v>1.5129999999999999</v>
      </c>
      <c r="I64" s="77">
        <v>1.5029999999999999</v>
      </c>
      <c r="J64" s="2">
        <v>21468</v>
      </c>
      <c r="K64" s="9" t="s">
        <v>108</v>
      </c>
      <c r="L64" s="1">
        <v>45750</v>
      </c>
      <c r="M64" s="2">
        <v>0.95</v>
      </c>
      <c r="N64" s="22">
        <v>1.1759999999999999</v>
      </c>
      <c r="O64" s="22">
        <f>+MAX(Tabla4[[#This Row],[6KWA]:[9KWA]])</f>
        <v>1.5409999999999999</v>
      </c>
      <c r="P64" s="3">
        <f t="shared" si="0"/>
        <v>3</v>
      </c>
      <c r="Q64" s="3">
        <f t="shared" si="1"/>
        <v>4</v>
      </c>
      <c r="R64" s="3">
        <f t="shared" si="2"/>
        <v>14</v>
      </c>
      <c r="S64" s="3" t="str">
        <f t="shared" si="3"/>
        <v>abril</v>
      </c>
      <c r="T64" s="21">
        <f t="shared" si="4"/>
        <v>539.35</v>
      </c>
      <c r="U64" s="21">
        <f t="shared" si="5"/>
        <v>450.45</v>
      </c>
      <c r="V64" s="21">
        <f t="shared" si="6"/>
        <v>529.54999999999995</v>
      </c>
      <c r="W64" s="21">
        <f>+Tabla4[[#This Row],[9KWA]]*350</f>
        <v>526.04999999999995</v>
      </c>
      <c r="X64" s="21">
        <f>350*Tabla4[[#This Row],[Max Factor Medido]]</f>
        <v>539.35</v>
      </c>
      <c r="Y64" s="39">
        <v>0.92</v>
      </c>
      <c r="Z64" s="3">
        <f t="shared" si="7"/>
        <v>2025</v>
      </c>
      <c r="AA64" s="21">
        <f>+MEDIAN(Tabla4[[#This Row],[kwreal 6]:[kwreal 9]])</f>
        <v>527.79999999999995</v>
      </c>
      <c r="AB64" s="21">
        <f>+Tabla4[[#This Row],[LineaBase-FD]]/350</f>
        <v>1.5079999999999998</v>
      </c>
    </row>
    <row r="65" spans="1:28" x14ac:dyDescent="0.3">
      <c r="A65" s="29">
        <v>63279</v>
      </c>
      <c r="B65" s="2">
        <v>24082</v>
      </c>
      <c r="C65" s="2">
        <v>7892</v>
      </c>
      <c r="D65" s="2">
        <v>28535</v>
      </c>
      <c r="E65" s="2">
        <v>2769</v>
      </c>
      <c r="F65" s="77">
        <v>1.5409999999999999</v>
      </c>
      <c r="G65" s="77">
        <v>1.379</v>
      </c>
      <c r="H65" s="77">
        <v>1.5129999999999999</v>
      </c>
      <c r="I65" s="77">
        <v>1.5029999999999999</v>
      </c>
      <c r="J65" s="2">
        <v>21982</v>
      </c>
      <c r="K65" s="9" t="s">
        <v>110</v>
      </c>
      <c r="L65" s="4">
        <v>45780</v>
      </c>
      <c r="M65" s="2">
        <v>0.96</v>
      </c>
      <c r="N65" s="22">
        <v>1.2869999999999999</v>
      </c>
      <c r="O65" s="22">
        <f>+MAX(Tabla4[[#This Row],[6KWA]:[9KWA]])</f>
        <v>1.5409999999999999</v>
      </c>
      <c r="P65" s="3">
        <f t="shared" si="0"/>
        <v>3</v>
      </c>
      <c r="Q65" s="3">
        <f t="shared" si="1"/>
        <v>5</v>
      </c>
      <c r="R65" s="3">
        <f t="shared" si="2"/>
        <v>18</v>
      </c>
      <c r="S65" s="3" t="str">
        <f t="shared" si="3"/>
        <v>mayo</v>
      </c>
      <c r="T65" s="21">
        <f t="shared" si="4"/>
        <v>539.35</v>
      </c>
      <c r="U65" s="21">
        <f t="shared" si="5"/>
        <v>482.65</v>
      </c>
      <c r="V65" s="21">
        <f t="shared" si="6"/>
        <v>529.54999999999995</v>
      </c>
      <c r="W65" s="21">
        <f>+Tabla4[[#This Row],[9KWA]]*350</f>
        <v>526.04999999999995</v>
      </c>
      <c r="X65" s="21">
        <f>350*Tabla4[[#This Row],[Max Factor Medido]]</f>
        <v>539.35</v>
      </c>
      <c r="Y65" s="39">
        <v>0.94</v>
      </c>
      <c r="Z65" s="3">
        <f t="shared" si="7"/>
        <v>2025</v>
      </c>
      <c r="AA65" s="21">
        <f>+MEDIAN(Tabla4[[#This Row],[kwreal 6]:[kwreal 9]])</f>
        <v>527.79999999999995</v>
      </c>
      <c r="AB65" s="21">
        <f>+Tabla4[[#This Row],[LineaBase-FD]]/350</f>
        <v>1.5079999999999998</v>
      </c>
    </row>
    <row r="66" spans="1:28" x14ac:dyDescent="0.3">
      <c r="A66" s="28">
        <v>63299</v>
      </c>
      <c r="B66" s="3">
        <v>24086</v>
      </c>
      <c r="C66" s="3">
        <v>7896</v>
      </c>
      <c r="D66" s="3">
        <v>28546</v>
      </c>
      <c r="E66" s="3">
        <v>2769</v>
      </c>
      <c r="F66" s="77">
        <v>1.5409999999999999</v>
      </c>
      <c r="G66" s="77">
        <v>1.579</v>
      </c>
      <c r="H66" s="77">
        <v>1.573</v>
      </c>
      <c r="I66" s="77">
        <v>1.5029999999999999</v>
      </c>
      <c r="J66" s="3">
        <v>21489</v>
      </c>
      <c r="K66" s="10" t="s">
        <v>92</v>
      </c>
      <c r="L66" s="1">
        <v>45811</v>
      </c>
      <c r="M66" s="3">
        <v>0.93</v>
      </c>
      <c r="N66" s="22">
        <v>1.0740000000000001</v>
      </c>
      <c r="O66" s="22">
        <f>+MAX(Tabla4[[#This Row],[6KWA]:[9KWA]])</f>
        <v>1.579</v>
      </c>
      <c r="P66" s="3">
        <f t="shared" ref="P66:P129" si="8">+DAY(L66)</f>
        <v>3</v>
      </c>
      <c r="Q66" s="3">
        <f t="shared" ref="Q66:Q129" si="9">+MONTH(L66)</f>
        <v>6</v>
      </c>
      <c r="R66" s="3">
        <f t="shared" ref="R66:R129" si="10">WEEKNUM(L66)</f>
        <v>23</v>
      </c>
      <c r="S66" s="3" t="str">
        <f t="shared" ref="S66:S129" si="11">TEXT(L66,"mmmm")</f>
        <v>junio</v>
      </c>
      <c r="T66" s="21">
        <f t="shared" ref="T66:T129" si="12">350*F66</f>
        <v>539.35</v>
      </c>
      <c r="U66" s="21">
        <f t="shared" ref="U66:U129" si="13">350*G66</f>
        <v>552.65</v>
      </c>
      <c r="V66" s="21">
        <f t="shared" ref="V66:V129" si="14">350*H66</f>
        <v>550.54999999999995</v>
      </c>
      <c r="W66" s="21">
        <f>+Tabla4[[#This Row],[9KWA]]*350</f>
        <v>526.04999999999995</v>
      </c>
      <c r="X66" s="21">
        <f>350*Tabla4[[#This Row],[Max Factor Medido]]</f>
        <v>552.65</v>
      </c>
      <c r="Y66" s="39">
        <v>0.94</v>
      </c>
      <c r="Z66" s="3">
        <f t="shared" ref="Z66:Z129" si="15">+YEAR(L66)</f>
        <v>2025</v>
      </c>
      <c r="AA66" s="21">
        <f>+MEDIAN(Tabla4[[#This Row],[kwreal 6]:[kwreal 9]])</f>
        <v>544.95000000000005</v>
      </c>
      <c r="AB66" s="21">
        <f>+Tabla4[[#This Row],[LineaBase-FD]]/350</f>
        <v>1.5570000000000002</v>
      </c>
    </row>
    <row r="67" spans="1:28" x14ac:dyDescent="0.3">
      <c r="A67" s="28">
        <v>63330</v>
      </c>
      <c r="B67" s="3">
        <v>24099</v>
      </c>
      <c r="C67" s="3">
        <v>7902</v>
      </c>
      <c r="D67" s="3">
        <v>28559</v>
      </c>
      <c r="E67" s="3">
        <v>2769</v>
      </c>
      <c r="F67" s="77">
        <v>1.5409999999999999</v>
      </c>
      <c r="G67" s="77">
        <v>1.4239999999999999</v>
      </c>
      <c r="H67" s="77">
        <v>1.573</v>
      </c>
      <c r="I67" s="77">
        <v>1.5029999999999999</v>
      </c>
      <c r="J67" s="3">
        <v>21500</v>
      </c>
      <c r="K67" s="10" t="s">
        <v>92</v>
      </c>
      <c r="L67" s="1">
        <v>45841</v>
      </c>
      <c r="M67" s="3">
        <v>0.94</v>
      </c>
      <c r="N67" s="22">
        <v>1.37</v>
      </c>
      <c r="O67" s="22">
        <f>+MAX(Tabla4[[#This Row],[6KWA]:[9KWA]])</f>
        <v>1.573</v>
      </c>
      <c r="P67" s="3">
        <f t="shared" si="8"/>
        <v>3</v>
      </c>
      <c r="Q67" s="3">
        <f t="shared" si="9"/>
        <v>7</v>
      </c>
      <c r="R67" s="3">
        <f t="shared" si="10"/>
        <v>27</v>
      </c>
      <c r="S67" s="3" t="str">
        <f t="shared" si="11"/>
        <v>julio</v>
      </c>
      <c r="T67" s="21">
        <f t="shared" si="12"/>
        <v>539.35</v>
      </c>
      <c r="U67" s="21">
        <f t="shared" si="13"/>
        <v>498.4</v>
      </c>
      <c r="V67" s="21">
        <f t="shared" si="14"/>
        <v>550.54999999999995</v>
      </c>
      <c r="W67" s="21">
        <f>+Tabla4[[#This Row],[9KWA]]*350</f>
        <v>526.04999999999995</v>
      </c>
      <c r="X67" s="21">
        <f>350*Tabla4[[#This Row],[Max Factor Medido]]</f>
        <v>550.54999999999995</v>
      </c>
      <c r="Y67" s="39">
        <v>0.94</v>
      </c>
      <c r="Z67" s="3">
        <f t="shared" si="15"/>
        <v>2025</v>
      </c>
      <c r="AA67" s="21">
        <f>+MEDIAN(Tabla4[[#This Row],[kwreal 6]:[kwreal 9]])</f>
        <v>532.70000000000005</v>
      </c>
      <c r="AB67" s="21">
        <f>+Tabla4[[#This Row],[LineaBase-FD]]/350</f>
        <v>1.522</v>
      </c>
    </row>
    <row r="68" spans="1:28" x14ac:dyDescent="0.3">
      <c r="A68" s="28">
        <v>63362</v>
      </c>
      <c r="B68" s="3">
        <v>24113</v>
      </c>
      <c r="C68" s="3">
        <v>7907</v>
      </c>
      <c r="D68" s="3">
        <v>28571</v>
      </c>
      <c r="E68" s="3">
        <v>2769</v>
      </c>
      <c r="F68" s="77">
        <v>1.5409999999999999</v>
      </c>
      <c r="G68" s="77">
        <v>1.4410000000000001</v>
      </c>
      <c r="H68" s="77">
        <v>1.5129999999999999</v>
      </c>
      <c r="I68" s="77">
        <v>1.5029999999999999</v>
      </c>
      <c r="J68" s="3">
        <v>21512</v>
      </c>
      <c r="K68" s="10" t="s">
        <v>92</v>
      </c>
      <c r="L68" s="1">
        <v>45872</v>
      </c>
      <c r="M68" s="3">
        <v>0.92</v>
      </c>
      <c r="N68" s="22">
        <v>1.3819999999999999</v>
      </c>
      <c r="O68" s="22">
        <f>+MAX(Tabla4[[#This Row],[6KWA]:[9KWA]])</f>
        <v>1.5409999999999999</v>
      </c>
      <c r="P68" s="3">
        <f t="shared" si="8"/>
        <v>3</v>
      </c>
      <c r="Q68" s="3">
        <f t="shared" si="9"/>
        <v>8</v>
      </c>
      <c r="R68" s="3">
        <f t="shared" si="10"/>
        <v>32</v>
      </c>
      <c r="S68" s="3" t="str">
        <f t="shared" si="11"/>
        <v>agosto</v>
      </c>
      <c r="T68" s="21">
        <f t="shared" si="12"/>
        <v>539.35</v>
      </c>
      <c r="U68" s="21">
        <f t="shared" si="13"/>
        <v>504.35</v>
      </c>
      <c r="V68" s="21">
        <f t="shared" si="14"/>
        <v>529.54999999999995</v>
      </c>
      <c r="W68" s="21">
        <f>+Tabla4[[#This Row],[9KWA]]*350</f>
        <v>526.04999999999995</v>
      </c>
      <c r="X68" s="21">
        <f>350*Tabla4[[#This Row],[Max Factor Medido]]</f>
        <v>539.35</v>
      </c>
      <c r="Y68" s="39">
        <v>0.94</v>
      </c>
      <c r="Z68" s="3">
        <f t="shared" si="15"/>
        <v>2025</v>
      </c>
      <c r="AA68" s="21">
        <f>+MEDIAN(Tabla4[[#This Row],[kwreal 6]:[kwreal 9]])</f>
        <v>527.79999999999995</v>
      </c>
      <c r="AB68" s="21">
        <f>+Tabla4[[#This Row],[LineaBase-FD]]/350</f>
        <v>1.5079999999999998</v>
      </c>
    </row>
    <row r="69" spans="1:28" x14ac:dyDescent="0.3">
      <c r="A69" s="28">
        <v>63393</v>
      </c>
      <c r="B69" s="3">
        <v>24113</v>
      </c>
      <c r="C69" s="3">
        <v>7907</v>
      </c>
      <c r="D69" s="3">
        <v>28598</v>
      </c>
      <c r="E69" s="3">
        <v>2774</v>
      </c>
      <c r="F69" s="77">
        <v>1.5409999999999999</v>
      </c>
      <c r="G69" s="77">
        <v>1.4410000000000001</v>
      </c>
      <c r="H69" s="77">
        <v>1.5129999999999999</v>
      </c>
      <c r="I69" s="77">
        <v>1.5029999999999999</v>
      </c>
      <c r="J69" s="3">
        <v>21524</v>
      </c>
      <c r="K69" s="10" t="s">
        <v>111</v>
      </c>
      <c r="L69" s="4">
        <v>45903</v>
      </c>
      <c r="M69" s="3">
        <v>0.94</v>
      </c>
      <c r="N69" s="22">
        <v>1.157</v>
      </c>
      <c r="O69" s="22">
        <f>+MAX(Tabla4[[#This Row],[6KWA]:[9KWA]])</f>
        <v>1.5409999999999999</v>
      </c>
      <c r="P69" s="3">
        <f t="shared" si="8"/>
        <v>3</v>
      </c>
      <c r="Q69" s="3">
        <f t="shared" si="9"/>
        <v>9</v>
      </c>
      <c r="R69" s="3">
        <f t="shared" si="10"/>
        <v>36</v>
      </c>
      <c r="S69" s="3" t="str">
        <f t="shared" si="11"/>
        <v>septiembre</v>
      </c>
      <c r="T69" s="21">
        <f t="shared" si="12"/>
        <v>539.35</v>
      </c>
      <c r="U69" s="21">
        <f t="shared" si="13"/>
        <v>504.35</v>
      </c>
      <c r="V69" s="21">
        <f t="shared" si="14"/>
        <v>529.54999999999995</v>
      </c>
      <c r="W69" s="21">
        <f>+Tabla4[[#This Row],[9KWA]]*350</f>
        <v>526.04999999999995</v>
      </c>
      <c r="X69" s="21">
        <f>350*Tabla4[[#This Row],[Max Factor Medido]]</f>
        <v>539.35</v>
      </c>
      <c r="Y69" s="39">
        <v>0.94</v>
      </c>
      <c r="Z69" s="3">
        <f t="shared" si="15"/>
        <v>2025</v>
      </c>
      <c r="AA69" s="21">
        <f>+MEDIAN(Tabla4[[#This Row],[kwreal 6]:[kwreal 9]])</f>
        <v>527.79999999999995</v>
      </c>
      <c r="AB69" s="21">
        <f>+Tabla4[[#This Row],[LineaBase-FD]]/350</f>
        <v>1.5079999999999998</v>
      </c>
    </row>
    <row r="70" spans="1:28" x14ac:dyDescent="0.3">
      <c r="A70" s="28">
        <v>63428</v>
      </c>
      <c r="B70" s="3">
        <v>24116</v>
      </c>
      <c r="C70" s="3">
        <v>7907</v>
      </c>
      <c r="D70" s="3">
        <v>28624</v>
      </c>
      <c r="E70" s="3">
        <v>2779</v>
      </c>
      <c r="F70" s="77">
        <v>1.5409999999999999</v>
      </c>
      <c r="G70" s="77">
        <v>1.4410000000000001</v>
      </c>
      <c r="H70" s="77">
        <v>1.5129999999999999</v>
      </c>
      <c r="I70" s="77">
        <v>1.5029999999999999</v>
      </c>
      <c r="J70" s="3">
        <v>21537</v>
      </c>
      <c r="K70" s="10" t="s">
        <v>78</v>
      </c>
      <c r="L70" s="1">
        <v>45933</v>
      </c>
      <c r="M70" s="3">
        <v>0.93</v>
      </c>
      <c r="N70" s="22">
        <v>1.335</v>
      </c>
      <c r="O70" s="22">
        <f>+MAX(Tabla4[[#This Row],[6KWA]:[9KWA]])</f>
        <v>1.5409999999999999</v>
      </c>
      <c r="P70" s="3">
        <f t="shared" si="8"/>
        <v>3</v>
      </c>
      <c r="Q70" s="3">
        <f t="shared" si="9"/>
        <v>10</v>
      </c>
      <c r="R70" s="3">
        <f t="shared" si="10"/>
        <v>40</v>
      </c>
      <c r="S70" s="3" t="str">
        <f t="shared" si="11"/>
        <v>octubre</v>
      </c>
      <c r="T70" s="21">
        <f t="shared" si="12"/>
        <v>539.35</v>
      </c>
      <c r="U70" s="21">
        <f t="shared" si="13"/>
        <v>504.35</v>
      </c>
      <c r="V70" s="21">
        <f t="shared" si="14"/>
        <v>529.54999999999995</v>
      </c>
      <c r="W70" s="21">
        <f>+Tabla4[[#This Row],[9KWA]]*350</f>
        <v>526.04999999999995</v>
      </c>
      <c r="X70" s="21">
        <f>350*Tabla4[[#This Row],[Max Factor Medido]]</f>
        <v>539.35</v>
      </c>
      <c r="Y70" s="39">
        <v>0.94</v>
      </c>
      <c r="Z70" s="3">
        <f t="shared" si="15"/>
        <v>2025</v>
      </c>
      <c r="AA70" s="21">
        <f>+MEDIAN(Tabla4[[#This Row],[kwreal 6]:[kwreal 9]])</f>
        <v>527.79999999999995</v>
      </c>
      <c r="AB70" s="21">
        <f>+Tabla4[[#This Row],[LineaBase-FD]]/350</f>
        <v>1.5079999999999998</v>
      </c>
    </row>
    <row r="71" spans="1:28" x14ac:dyDescent="0.3">
      <c r="A71" s="28">
        <v>63455</v>
      </c>
      <c r="B71" s="3">
        <v>24127</v>
      </c>
      <c r="C71" s="3">
        <v>7912</v>
      </c>
      <c r="D71" s="3">
        <v>28636</v>
      </c>
      <c r="E71" s="3">
        <v>2779</v>
      </c>
      <c r="F71" s="77">
        <v>1.5409999999999999</v>
      </c>
      <c r="G71" s="77">
        <v>1.4410000000000001</v>
      </c>
      <c r="H71" s="77">
        <v>1.5129999999999999</v>
      </c>
      <c r="I71" s="77">
        <v>1.5029999999999999</v>
      </c>
      <c r="J71" s="3">
        <v>21548</v>
      </c>
      <c r="K71" s="10" t="s">
        <v>112</v>
      </c>
      <c r="L71" s="1">
        <v>45964</v>
      </c>
      <c r="M71" s="3">
        <v>0.93</v>
      </c>
      <c r="N71" s="22">
        <v>1.1779999999999999</v>
      </c>
      <c r="O71" s="22">
        <f>+MAX(Tabla4[[#This Row],[6KWA]:[9KWA]])</f>
        <v>1.5409999999999999</v>
      </c>
      <c r="P71" s="3">
        <f t="shared" si="8"/>
        <v>3</v>
      </c>
      <c r="Q71" s="3">
        <f t="shared" si="9"/>
        <v>11</v>
      </c>
      <c r="R71" s="3">
        <f t="shared" si="10"/>
        <v>45</v>
      </c>
      <c r="S71" s="3" t="str">
        <f t="shared" si="11"/>
        <v>noviembre</v>
      </c>
      <c r="T71" s="21">
        <f t="shared" si="12"/>
        <v>539.35</v>
      </c>
      <c r="U71" s="21">
        <f t="shared" si="13"/>
        <v>504.35</v>
      </c>
      <c r="V71" s="21">
        <f t="shared" si="14"/>
        <v>529.54999999999995</v>
      </c>
      <c r="W71" s="21">
        <f>+Tabla4[[#This Row],[9KWA]]*350</f>
        <v>526.04999999999995</v>
      </c>
      <c r="X71" s="21">
        <f>350*Tabla4[[#This Row],[Max Factor Medido]]</f>
        <v>539.35</v>
      </c>
      <c r="Y71" s="39">
        <v>0.94</v>
      </c>
      <c r="Z71" s="3">
        <f t="shared" si="15"/>
        <v>2025</v>
      </c>
      <c r="AA71" s="21">
        <f>+MEDIAN(Tabla4[[#This Row],[kwreal 6]:[kwreal 9]])</f>
        <v>527.79999999999995</v>
      </c>
      <c r="AB71" s="21">
        <f>+Tabla4[[#This Row],[LineaBase-FD]]/350</f>
        <v>1.5079999999999998</v>
      </c>
    </row>
    <row r="72" spans="1:28" x14ac:dyDescent="0.3">
      <c r="A72" s="29">
        <v>63485</v>
      </c>
      <c r="B72" s="2">
        <v>24139</v>
      </c>
      <c r="C72" s="2">
        <v>7917</v>
      </c>
      <c r="D72" s="2">
        <v>28647</v>
      </c>
      <c r="E72" s="2">
        <v>2779</v>
      </c>
      <c r="F72" s="77">
        <v>1.5409999999999999</v>
      </c>
      <c r="G72" s="77">
        <v>1.456</v>
      </c>
      <c r="H72" s="77">
        <v>1.5129999999999999</v>
      </c>
      <c r="I72" s="77">
        <v>1.5029999999999999</v>
      </c>
      <c r="J72" s="2">
        <v>21559</v>
      </c>
      <c r="K72" s="9" t="s">
        <v>75</v>
      </c>
      <c r="L72" s="4">
        <v>45994</v>
      </c>
      <c r="M72" s="2">
        <v>0.94</v>
      </c>
      <c r="N72" s="22">
        <v>1.0289999999999999</v>
      </c>
      <c r="O72" s="22">
        <f>+MAX(Tabla4[[#This Row],[6KWA]:[9KWA]])</f>
        <v>1.5409999999999999</v>
      </c>
      <c r="P72" s="3">
        <f t="shared" si="8"/>
        <v>3</v>
      </c>
      <c r="Q72" s="3">
        <f t="shared" si="9"/>
        <v>12</v>
      </c>
      <c r="R72" s="3">
        <f t="shared" si="10"/>
        <v>49</v>
      </c>
      <c r="S72" s="3" t="str">
        <f t="shared" si="11"/>
        <v>diciembre</v>
      </c>
      <c r="T72" s="21">
        <f t="shared" si="12"/>
        <v>539.35</v>
      </c>
      <c r="U72" s="21">
        <f t="shared" si="13"/>
        <v>509.59999999999997</v>
      </c>
      <c r="V72" s="21">
        <f t="shared" si="14"/>
        <v>529.54999999999995</v>
      </c>
      <c r="W72" s="21">
        <f>+Tabla4[[#This Row],[9KWA]]*350</f>
        <v>526.04999999999995</v>
      </c>
      <c r="X72" s="21">
        <f>350*Tabla4[[#This Row],[Max Factor Medido]]</f>
        <v>539.35</v>
      </c>
      <c r="Y72" s="39">
        <v>0.94</v>
      </c>
      <c r="Z72" s="3">
        <f t="shared" si="15"/>
        <v>2025</v>
      </c>
      <c r="AA72" s="21">
        <f>+MEDIAN(Tabla4[[#This Row],[kwreal 6]:[kwreal 9]])</f>
        <v>527.79999999999995</v>
      </c>
      <c r="AB72" s="21">
        <f>+Tabla4[[#This Row],[LineaBase-FD]]/350</f>
        <v>1.5079999999999998</v>
      </c>
    </row>
    <row r="73" spans="1:28" x14ac:dyDescent="0.3">
      <c r="A73" s="29">
        <v>63516</v>
      </c>
      <c r="B73" s="2">
        <v>24153</v>
      </c>
      <c r="C73" s="2">
        <v>7922</v>
      </c>
      <c r="D73" s="2">
        <v>28660</v>
      </c>
      <c r="E73" s="2">
        <v>2779</v>
      </c>
      <c r="F73" s="77">
        <v>1.5409999999999999</v>
      </c>
      <c r="G73" s="77">
        <v>1.456</v>
      </c>
      <c r="H73" s="77">
        <v>1.5129999999999999</v>
      </c>
      <c r="I73" s="77">
        <v>1.5029999999999999</v>
      </c>
      <c r="J73" s="2">
        <v>21570</v>
      </c>
      <c r="K73" s="9" t="s">
        <v>113</v>
      </c>
      <c r="L73" s="4" t="s">
        <v>114</v>
      </c>
      <c r="M73" s="2">
        <v>0.94</v>
      </c>
      <c r="N73" s="22">
        <v>1.4710000000000001</v>
      </c>
      <c r="O73" s="22">
        <f>+MAX(Tabla4[[#This Row],[6KWA]:[9KWA]])</f>
        <v>1.5409999999999999</v>
      </c>
      <c r="P73" s="3">
        <f t="shared" si="8"/>
        <v>13</v>
      </c>
      <c r="Q73" s="3">
        <f t="shared" si="9"/>
        <v>3</v>
      </c>
      <c r="R73" s="3">
        <f t="shared" si="10"/>
        <v>11</v>
      </c>
      <c r="S73" s="3" t="str">
        <f t="shared" si="11"/>
        <v>marzo</v>
      </c>
      <c r="T73" s="21">
        <f t="shared" si="12"/>
        <v>539.35</v>
      </c>
      <c r="U73" s="21">
        <f t="shared" si="13"/>
        <v>509.59999999999997</v>
      </c>
      <c r="V73" s="21">
        <f t="shared" si="14"/>
        <v>529.54999999999995</v>
      </c>
      <c r="W73" s="21">
        <f>+Tabla4[[#This Row],[9KWA]]*350</f>
        <v>526.04999999999995</v>
      </c>
      <c r="X73" s="21">
        <f>350*Tabla4[[#This Row],[Max Factor Medido]]</f>
        <v>539.35</v>
      </c>
      <c r="Y73" s="39">
        <v>0.92</v>
      </c>
      <c r="Z73" s="3">
        <f t="shared" si="15"/>
        <v>2025</v>
      </c>
      <c r="AA73" s="21">
        <f>+MEDIAN(Tabla4[[#This Row],[kwreal 6]:[kwreal 9]])</f>
        <v>527.79999999999995</v>
      </c>
      <c r="AB73" s="21">
        <f>+Tabla4[[#This Row],[LineaBase-FD]]/350</f>
        <v>1.5079999999999998</v>
      </c>
    </row>
    <row r="74" spans="1:28" x14ac:dyDescent="0.3">
      <c r="A74" s="28">
        <v>63547</v>
      </c>
      <c r="B74" s="3">
        <v>24166</v>
      </c>
      <c r="C74" s="3">
        <v>7928</v>
      </c>
      <c r="D74" s="3">
        <v>28672</v>
      </c>
      <c r="E74" s="3">
        <v>2779</v>
      </c>
      <c r="F74" s="77">
        <v>1.5409999999999999</v>
      </c>
      <c r="G74" s="77">
        <v>1.456</v>
      </c>
      <c r="H74" s="77">
        <v>1.5129999999999999</v>
      </c>
      <c r="I74" s="77">
        <v>1.5029999999999999</v>
      </c>
      <c r="J74" s="3">
        <v>21582</v>
      </c>
      <c r="K74" s="10" t="s">
        <v>115</v>
      </c>
      <c r="L74" s="1" t="s">
        <v>116</v>
      </c>
      <c r="M74" s="3">
        <v>0.94</v>
      </c>
      <c r="N74" s="22">
        <v>1.47</v>
      </c>
      <c r="O74" s="22">
        <f>+MAX(Tabla4[[#This Row],[6KWA]:[9KWA]])</f>
        <v>1.5409999999999999</v>
      </c>
      <c r="P74" s="3">
        <f t="shared" si="8"/>
        <v>14</v>
      </c>
      <c r="Q74" s="3">
        <f t="shared" si="9"/>
        <v>3</v>
      </c>
      <c r="R74" s="3">
        <f t="shared" si="10"/>
        <v>11</v>
      </c>
      <c r="S74" s="3" t="str">
        <f t="shared" si="11"/>
        <v>marzo</v>
      </c>
      <c r="T74" s="21">
        <f t="shared" si="12"/>
        <v>539.35</v>
      </c>
      <c r="U74" s="21">
        <f t="shared" si="13"/>
        <v>509.59999999999997</v>
      </c>
      <c r="V74" s="21">
        <f t="shared" si="14"/>
        <v>529.54999999999995</v>
      </c>
      <c r="W74" s="21">
        <f>+Tabla4[[#This Row],[9KWA]]*350</f>
        <v>526.04999999999995</v>
      </c>
      <c r="X74" s="21">
        <f>350*Tabla4[[#This Row],[Max Factor Medido]]</f>
        <v>539.35</v>
      </c>
      <c r="Y74" s="39">
        <v>0.92</v>
      </c>
      <c r="Z74" s="3">
        <f t="shared" si="15"/>
        <v>2025</v>
      </c>
      <c r="AA74" s="21">
        <f>+MEDIAN(Tabla4[[#This Row],[kwreal 6]:[kwreal 9]])</f>
        <v>527.79999999999995</v>
      </c>
      <c r="AB74" s="21">
        <f>+Tabla4[[#This Row],[LineaBase-FD]]/350</f>
        <v>1.5079999999999998</v>
      </c>
    </row>
    <row r="75" spans="1:28" x14ac:dyDescent="0.3">
      <c r="A75" s="28">
        <v>63579</v>
      </c>
      <c r="B75" s="3">
        <v>24180</v>
      </c>
      <c r="C75" s="3">
        <v>7933</v>
      </c>
      <c r="D75" s="3">
        <v>28682</v>
      </c>
      <c r="E75" s="3">
        <v>2779</v>
      </c>
      <c r="F75" s="77">
        <v>1.5409999999999999</v>
      </c>
      <c r="G75" s="77">
        <v>1.5509999999999999</v>
      </c>
      <c r="H75" s="77">
        <v>1.5129999999999999</v>
      </c>
      <c r="I75" s="77">
        <v>1.5029999999999999</v>
      </c>
      <c r="J75" s="3">
        <v>21594</v>
      </c>
      <c r="K75" s="10" t="s">
        <v>28</v>
      </c>
      <c r="L75" s="1" t="s">
        <v>117</v>
      </c>
      <c r="M75" s="3">
        <v>0.91</v>
      </c>
      <c r="N75" s="22">
        <v>1.2350000000000001</v>
      </c>
      <c r="O75" s="22">
        <f>+MAX(Tabla4[[#This Row],[6KWA]:[9KWA]])</f>
        <v>1.5509999999999999</v>
      </c>
      <c r="P75" s="3">
        <f t="shared" si="8"/>
        <v>15</v>
      </c>
      <c r="Q75" s="3">
        <f t="shared" si="9"/>
        <v>3</v>
      </c>
      <c r="R75" s="3">
        <f t="shared" si="10"/>
        <v>11</v>
      </c>
      <c r="S75" s="3" t="str">
        <f t="shared" si="11"/>
        <v>marzo</v>
      </c>
      <c r="T75" s="21">
        <f t="shared" si="12"/>
        <v>539.35</v>
      </c>
      <c r="U75" s="21">
        <f t="shared" si="13"/>
        <v>542.85</v>
      </c>
      <c r="V75" s="21">
        <f t="shared" si="14"/>
        <v>529.54999999999995</v>
      </c>
      <c r="W75" s="21">
        <f>+Tabla4[[#This Row],[9KWA]]*350</f>
        <v>526.04999999999995</v>
      </c>
      <c r="X75" s="21">
        <f>350*Tabla4[[#This Row],[Max Factor Medido]]</f>
        <v>542.85</v>
      </c>
      <c r="Y75" s="39">
        <v>0.92</v>
      </c>
      <c r="Z75" s="3">
        <f t="shared" si="15"/>
        <v>2025</v>
      </c>
      <c r="AA75" s="21">
        <f>+MEDIAN(Tabla4[[#This Row],[kwreal 6]:[kwreal 9]])</f>
        <v>534.45000000000005</v>
      </c>
      <c r="AB75" s="21">
        <f>+Tabla4[[#This Row],[LineaBase-FD]]/350</f>
        <v>1.5270000000000001</v>
      </c>
    </row>
    <row r="76" spans="1:28" x14ac:dyDescent="0.3">
      <c r="A76" s="28">
        <v>63611</v>
      </c>
      <c r="B76" s="3">
        <v>24180</v>
      </c>
      <c r="C76" s="3">
        <v>7933</v>
      </c>
      <c r="D76" s="3">
        <v>28712</v>
      </c>
      <c r="E76" s="3">
        <v>2785</v>
      </c>
      <c r="F76" s="77">
        <v>1.5409999999999999</v>
      </c>
      <c r="G76" s="77">
        <v>1.5509999999999999</v>
      </c>
      <c r="H76" s="77">
        <v>1.615</v>
      </c>
      <c r="I76" s="77">
        <v>1.5029999999999999</v>
      </c>
      <c r="J76" s="3">
        <v>21606</v>
      </c>
      <c r="K76" s="10" t="s">
        <v>28</v>
      </c>
      <c r="L76" s="1" t="s">
        <v>118</v>
      </c>
      <c r="M76" s="3">
        <v>0.92</v>
      </c>
      <c r="N76" s="22">
        <v>1.1659999999999999</v>
      </c>
      <c r="O76" s="22">
        <f>+MAX(Tabla4[[#This Row],[6KWA]:[9KWA]])</f>
        <v>1.615</v>
      </c>
      <c r="P76" s="3">
        <f t="shared" si="8"/>
        <v>16</v>
      </c>
      <c r="Q76" s="3">
        <f t="shared" si="9"/>
        <v>3</v>
      </c>
      <c r="R76" s="3">
        <f t="shared" si="10"/>
        <v>12</v>
      </c>
      <c r="S76" s="3" t="str">
        <f t="shared" si="11"/>
        <v>marzo</v>
      </c>
      <c r="T76" s="21">
        <f t="shared" si="12"/>
        <v>539.35</v>
      </c>
      <c r="U76" s="21">
        <f t="shared" si="13"/>
        <v>542.85</v>
      </c>
      <c r="V76" s="21">
        <f t="shared" si="14"/>
        <v>565.25</v>
      </c>
      <c r="W76" s="21">
        <f>+Tabla4[[#This Row],[9KWA]]*350</f>
        <v>526.04999999999995</v>
      </c>
      <c r="X76" s="21">
        <f>350*Tabla4[[#This Row],[Max Factor Medido]]</f>
        <v>565.25</v>
      </c>
      <c r="Y76" s="39">
        <v>0.92</v>
      </c>
      <c r="Z76" s="3">
        <f t="shared" si="15"/>
        <v>2025</v>
      </c>
      <c r="AA76" s="21">
        <f>+MEDIAN(Tabla4[[#This Row],[kwreal 6]:[kwreal 9]])</f>
        <v>541.1</v>
      </c>
      <c r="AB76" s="21">
        <f>+Tabla4[[#This Row],[LineaBase-FD]]/350</f>
        <v>1.546</v>
      </c>
    </row>
    <row r="77" spans="1:28" x14ac:dyDescent="0.3">
      <c r="A77" s="28">
        <v>63692</v>
      </c>
      <c r="B77" s="3">
        <v>24180</v>
      </c>
      <c r="C77" s="3">
        <v>7933</v>
      </c>
      <c r="D77" s="3">
        <v>28738</v>
      </c>
      <c r="E77" s="3">
        <v>2790</v>
      </c>
      <c r="F77" s="77">
        <v>1.5409999999999999</v>
      </c>
      <c r="G77" s="77">
        <v>1.5509999999999999</v>
      </c>
      <c r="H77" s="77">
        <v>1.615</v>
      </c>
      <c r="I77" s="77">
        <v>1.5029999999999999</v>
      </c>
      <c r="J77" s="3">
        <v>21618</v>
      </c>
      <c r="K77" s="10" t="s">
        <v>119</v>
      </c>
      <c r="L77" s="1" t="s">
        <v>120</v>
      </c>
      <c r="M77" s="3">
        <v>0.94</v>
      </c>
      <c r="N77" s="22">
        <v>1.1439999999999999</v>
      </c>
      <c r="O77" s="22">
        <f>+MAX(Tabla4[[#This Row],[6KWA]:[9KWA]])</f>
        <v>1.615</v>
      </c>
      <c r="P77" s="3">
        <f t="shared" si="8"/>
        <v>17</v>
      </c>
      <c r="Q77" s="3">
        <f t="shared" si="9"/>
        <v>3</v>
      </c>
      <c r="R77" s="3">
        <f t="shared" si="10"/>
        <v>12</v>
      </c>
      <c r="S77" s="3" t="str">
        <f t="shared" si="11"/>
        <v>marzo</v>
      </c>
      <c r="T77" s="21">
        <f t="shared" si="12"/>
        <v>539.35</v>
      </c>
      <c r="U77" s="21">
        <f t="shared" si="13"/>
        <v>542.85</v>
      </c>
      <c r="V77" s="21">
        <f t="shared" si="14"/>
        <v>565.25</v>
      </c>
      <c r="W77" s="21">
        <f>+Tabla4[[#This Row],[9KWA]]*350</f>
        <v>526.04999999999995</v>
      </c>
      <c r="X77" s="21">
        <f>350*Tabla4[[#This Row],[Max Factor Medido]]</f>
        <v>565.25</v>
      </c>
      <c r="Y77" s="39">
        <v>0.92</v>
      </c>
      <c r="Z77" s="3">
        <f t="shared" si="15"/>
        <v>2025</v>
      </c>
      <c r="AA77" s="21">
        <f>+MEDIAN(Tabla4[[#This Row],[kwreal 6]:[kwreal 9]])</f>
        <v>541.1</v>
      </c>
      <c r="AB77" s="21">
        <f>+Tabla4[[#This Row],[LineaBase-FD]]/350</f>
        <v>1.546</v>
      </c>
    </row>
    <row r="78" spans="1:28" x14ac:dyDescent="0.3">
      <c r="A78" s="29">
        <v>63673</v>
      </c>
      <c r="B78" s="2">
        <v>24193</v>
      </c>
      <c r="C78" s="2">
        <v>7938</v>
      </c>
      <c r="D78" s="2">
        <v>28750</v>
      </c>
      <c r="E78" s="2">
        <v>2790</v>
      </c>
      <c r="F78" s="77">
        <v>1.5409999999999999</v>
      </c>
      <c r="G78" s="77">
        <v>1.5509999999999999</v>
      </c>
      <c r="H78" s="77">
        <v>1.615</v>
      </c>
      <c r="I78" s="77">
        <v>1.5029999999999999</v>
      </c>
      <c r="J78" s="2">
        <v>21629</v>
      </c>
      <c r="K78" s="9" t="s">
        <v>75</v>
      </c>
      <c r="L78" s="4" t="s">
        <v>121</v>
      </c>
      <c r="M78" s="2">
        <v>0.93</v>
      </c>
      <c r="N78" s="22">
        <v>1.216</v>
      </c>
      <c r="O78" s="22">
        <f>+MAX(Tabla4[[#This Row],[6KWA]:[9KWA]])</f>
        <v>1.615</v>
      </c>
      <c r="P78" s="3">
        <f t="shared" si="8"/>
        <v>18</v>
      </c>
      <c r="Q78" s="3">
        <f t="shared" si="9"/>
        <v>3</v>
      </c>
      <c r="R78" s="3">
        <f t="shared" si="10"/>
        <v>12</v>
      </c>
      <c r="S78" s="3" t="str">
        <f t="shared" si="11"/>
        <v>marzo</v>
      </c>
      <c r="T78" s="21">
        <f t="shared" si="12"/>
        <v>539.35</v>
      </c>
      <c r="U78" s="21">
        <f t="shared" si="13"/>
        <v>542.85</v>
      </c>
      <c r="V78" s="21">
        <f t="shared" si="14"/>
        <v>565.25</v>
      </c>
      <c r="W78" s="21">
        <f>+Tabla4[[#This Row],[9KWA]]*350</f>
        <v>526.04999999999995</v>
      </c>
      <c r="X78" s="21">
        <f>350*Tabla4[[#This Row],[Max Factor Medido]]</f>
        <v>565.25</v>
      </c>
      <c r="Y78" s="39">
        <v>0.92</v>
      </c>
      <c r="Z78" s="3">
        <f t="shared" si="15"/>
        <v>2025</v>
      </c>
      <c r="AA78" s="21">
        <f>+MEDIAN(Tabla4[[#This Row],[kwreal 6]:[kwreal 9]])</f>
        <v>541.1</v>
      </c>
      <c r="AB78" s="21">
        <f>+Tabla4[[#This Row],[LineaBase-FD]]/350</f>
        <v>1.546</v>
      </c>
    </row>
    <row r="79" spans="1:28" x14ac:dyDescent="0.3">
      <c r="A79" s="29">
        <v>63705</v>
      </c>
      <c r="B79" s="2">
        <v>24207</v>
      </c>
      <c r="C79" s="2">
        <v>7944</v>
      </c>
      <c r="D79" s="2">
        <v>28762</v>
      </c>
      <c r="E79" s="2">
        <v>2790</v>
      </c>
      <c r="F79" s="77">
        <v>1.569</v>
      </c>
      <c r="G79" s="77">
        <v>1.5509999999999999</v>
      </c>
      <c r="H79" s="77">
        <v>1.615</v>
      </c>
      <c r="I79" s="77">
        <v>1.5029999999999999</v>
      </c>
      <c r="J79" s="2">
        <v>21641</v>
      </c>
      <c r="K79" s="9" t="s">
        <v>30</v>
      </c>
      <c r="L79" s="4" t="s">
        <v>122</v>
      </c>
      <c r="M79" s="2">
        <v>0.92</v>
      </c>
      <c r="N79" s="22">
        <v>1.2669999999999999</v>
      </c>
      <c r="O79" s="22">
        <f>+MAX(Tabla4[[#This Row],[6KWA]:[9KWA]])</f>
        <v>1.615</v>
      </c>
      <c r="P79" s="3">
        <f t="shared" si="8"/>
        <v>19</v>
      </c>
      <c r="Q79" s="3">
        <f t="shared" si="9"/>
        <v>3</v>
      </c>
      <c r="R79" s="3">
        <f t="shared" si="10"/>
        <v>12</v>
      </c>
      <c r="S79" s="3" t="str">
        <f t="shared" si="11"/>
        <v>marzo</v>
      </c>
      <c r="T79" s="21">
        <f t="shared" si="12"/>
        <v>549.15</v>
      </c>
      <c r="U79" s="21">
        <f t="shared" si="13"/>
        <v>542.85</v>
      </c>
      <c r="V79" s="21">
        <f t="shared" si="14"/>
        <v>565.25</v>
      </c>
      <c r="W79" s="21">
        <f>+Tabla4[[#This Row],[9KWA]]*350</f>
        <v>526.04999999999995</v>
      </c>
      <c r="X79" s="21">
        <f>350*Tabla4[[#This Row],[Max Factor Medido]]</f>
        <v>565.25</v>
      </c>
      <c r="Y79" s="39">
        <v>0.92</v>
      </c>
      <c r="Z79" s="3">
        <f t="shared" si="15"/>
        <v>2025</v>
      </c>
      <c r="AA79" s="21">
        <f>+MEDIAN(Tabla4[[#This Row],[kwreal 6]:[kwreal 9]])</f>
        <v>546</v>
      </c>
      <c r="AB79" s="21">
        <f>+Tabla4[[#This Row],[LineaBase-FD]]/350</f>
        <v>1.56</v>
      </c>
    </row>
    <row r="80" spans="1:28" x14ac:dyDescent="0.3">
      <c r="A80" s="28">
        <v>63736</v>
      </c>
      <c r="B80" s="3">
        <v>24221</v>
      </c>
      <c r="C80" s="3">
        <v>7949</v>
      </c>
      <c r="D80" s="3">
        <v>28775</v>
      </c>
      <c r="E80" s="3">
        <v>2790</v>
      </c>
      <c r="F80" s="77">
        <v>1.569</v>
      </c>
      <c r="G80" s="77">
        <v>1.554</v>
      </c>
      <c r="H80" s="77">
        <v>1.615</v>
      </c>
      <c r="I80" s="77">
        <v>1.5029999999999999</v>
      </c>
      <c r="J80" s="3">
        <v>21653</v>
      </c>
      <c r="K80" s="10" t="s">
        <v>34</v>
      </c>
      <c r="L80" s="1" t="s">
        <v>123</v>
      </c>
      <c r="M80" s="3">
        <v>0.91</v>
      </c>
      <c r="N80" s="22">
        <v>1.367</v>
      </c>
      <c r="O80" s="22">
        <f>+MAX(Tabla4[[#This Row],[6KWA]:[9KWA]])</f>
        <v>1.615</v>
      </c>
      <c r="P80" s="3">
        <f t="shared" si="8"/>
        <v>20</v>
      </c>
      <c r="Q80" s="3">
        <f t="shared" si="9"/>
        <v>3</v>
      </c>
      <c r="R80" s="3">
        <f t="shared" si="10"/>
        <v>12</v>
      </c>
      <c r="S80" s="3" t="str">
        <f t="shared" si="11"/>
        <v>marzo</v>
      </c>
      <c r="T80" s="21">
        <f t="shared" si="12"/>
        <v>549.15</v>
      </c>
      <c r="U80" s="21">
        <f t="shared" si="13"/>
        <v>543.9</v>
      </c>
      <c r="V80" s="21">
        <f t="shared" si="14"/>
        <v>565.25</v>
      </c>
      <c r="W80" s="21">
        <f>+Tabla4[[#This Row],[9KWA]]*350</f>
        <v>526.04999999999995</v>
      </c>
      <c r="X80" s="21">
        <f>350*Tabla4[[#This Row],[Max Factor Medido]]</f>
        <v>565.25</v>
      </c>
      <c r="Y80" s="39">
        <v>0.92</v>
      </c>
      <c r="Z80" s="3">
        <f t="shared" si="15"/>
        <v>2025</v>
      </c>
      <c r="AA80" s="21">
        <f>+MEDIAN(Tabla4[[#This Row],[kwreal 6]:[kwreal 9]])</f>
        <v>546.52499999999998</v>
      </c>
      <c r="AB80" s="21">
        <f>+Tabla4[[#This Row],[LineaBase-FD]]/350</f>
        <v>1.5614999999999999</v>
      </c>
    </row>
    <row r="81" spans="1:28" x14ac:dyDescent="0.3">
      <c r="A81" s="28">
        <v>63768</v>
      </c>
      <c r="B81" s="3">
        <v>24234</v>
      </c>
      <c r="C81" s="3">
        <v>7954</v>
      </c>
      <c r="D81" s="3">
        <v>28788</v>
      </c>
      <c r="E81" s="3">
        <v>2790</v>
      </c>
      <c r="F81" s="77">
        <v>1.569</v>
      </c>
      <c r="G81" s="77">
        <v>1.5509999999999999</v>
      </c>
      <c r="H81" s="77">
        <v>1.615</v>
      </c>
      <c r="I81" s="77">
        <v>1.5029999999999999</v>
      </c>
      <c r="J81" s="3">
        <v>21666</v>
      </c>
      <c r="K81" s="10" t="s">
        <v>30</v>
      </c>
      <c r="L81" s="1" t="s">
        <v>124</v>
      </c>
      <c r="M81" s="3">
        <v>0.92</v>
      </c>
      <c r="N81" s="22">
        <v>1.3320000000000001</v>
      </c>
      <c r="O81" s="22">
        <f>+MAX(Tabla4[[#This Row],[6KWA]:[9KWA]])</f>
        <v>1.615</v>
      </c>
      <c r="P81" s="3">
        <f t="shared" si="8"/>
        <v>21</v>
      </c>
      <c r="Q81" s="3">
        <f t="shared" si="9"/>
        <v>3</v>
      </c>
      <c r="R81" s="3">
        <f t="shared" si="10"/>
        <v>12</v>
      </c>
      <c r="S81" s="3" t="str">
        <f t="shared" si="11"/>
        <v>marzo</v>
      </c>
      <c r="T81" s="21">
        <f t="shared" si="12"/>
        <v>549.15</v>
      </c>
      <c r="U81" s="21">
        <f t="shared" si="13"/>
        <v>542.85</v>
      </c>
      <c r="V81" s="21">
        <f t="shared" si="14"/>
        <v>565.25</v>
      </c>
      <c r="W81" s="21">
        <f>+Tabla4[[#This Row],[9KWA]]*350</f>
        <v>526.04999999999995</v>
      </c>
      <c r="X81" s="21">
        <f>350*Tabla4[[#This Row],[Max Factor Medido]]</f>
        <v>565.25</v>
      </c>
      <c r="Y81" s="39">
        <v>0.92</v>
      </c>
      <c r="Z81" s="3">
        <f t="shared" si="15"/>
        <v>2025</v>
      </c>
      <c r="AA81" s="21">
        <f>+MEDIAN(Tabla4[[#This Row],[kwreal 6]:[kwreal 9]])</f>
        <v>546</v>
      </c>
      <c r="AB81" s="21">
        <f>+Tabla4[[#This Row],[LineaBase-FD]]/350</f>
        <v>1.56</v>
      </c>
    </row>
    <row r="82" spans="1:28" x14ac:dyDescent="0.3">
      <c r="A82" s="28">
        <v>63800</v>
      </c>
      <c r="B82" s="3">
        <v>24248</v>
      </c>
      <c r="C82" s="3">
        <v>7960</v>
      </c>
      <c r="D82" s="3">
        <v>28801</v>
      </c>
      <c r="E82" s="3">
        <v>2790</v>
      </c>
      <c r="F82" s="77">
        <v>1.569</v>
      </c>
      <c r="G82" s="77">
        <v>1.5509999999999999</v>
      </c>
      <c r="H82" s="77">
        <v>1.615</v>
      </c>
      <c r="I82" s="77">
        <v>1.5029999999999999</v>
      </c>
      <c r="J82" s="3">
        <v>21670</v>
      </c>
      <c r="K82" s="10" t="s">
        <v>75</v>
      </c>
      <c r="L82" s="1" t="s">
        <v>125</v>
      </c>
      <c r="M82" s="3">
        <v>0.93</v>
      </c>
      <c r="N82" s="22">
        <v>1.2350000000000001</v>
      </c>
      <c r="O82" s="22">
        <f>+MAX(Tabla4[[#This Row],[6KWA]:[9KWA]])</f>
        <v>1.615</v>
      </c>
      <c r="P82" s="3">
        <f t="shared" si="8"/>
        <v>22</v>
      </c>
      <c r="Q82" s="3">
        <f t="shared" si="9"/>
        <v>3</v>
      </c>
      <c r="R82" s="3">
        <f t="shared" si="10"/>
        <v>12</v>
      </c>
      <c r="S82" s="3" t="str">
        <f t="shared" si="11"/>
        <v>marzo</v>
      </c>
      <c r="T82" s="21">
        <f t="shared" si="12"/>
        <v>549.15</v>
      </c>
      <c r="U82" s="21">
        <f t="shared" si="13"/>
        <v>542.85</v>
      </c>
      <c r="V82" s="21">
        <f t="shared" si="14"/>
        <v>565.25</v>
      </c>
      <c r="W82" s="21">
        <f>+Tabla4[[#This Row],[9KWA]]*350</f>
        <v>526.04999999999995</v>
      </c>
      <c r="X82" s="21">
        <f>350*Tabla4[[#This Row],[Max Factor Medido]]</f>
        <v>565.25</v>
      </c>
      <c r="Y82" s="39">
        <v>0.92</v>
      </c>
      <c r="Z82" s="3">
        <f t="shared" si="15"/>
        <v>2025</v>
      </c>
      <c r="AA82" s="21">
        <f>+MEDIAN(Tabla4[[#This Row],[kwreal 6]:[kwreal 9]])</f>
        <v>546</v>
      </c>
      <c r="AB82" s="21">
        <f>+Tabla4[[#This Row],[LineaBase-FD]]/350</f>
        <v>1.56</v>
      </c>
    </row>
    <row r="83" spans="1:28" x14ac:dyDescent="0.3">
      <c r="A83" s="28">
        <v>63831</v>
      </c>
      <c r="B83" s="3">
        <v>24248</v>
      </c>
      <c r="C83" s="3">
        <v>7960</v>
      </c>
      <c r="D83" s="3">
        <v>28827</v>
      </c>
      <c r="E83" s="3">
        <v>2795</v>
      </c>
      <c r="F83" s="77">
        <v>1.569</v>
      </c>
      <c r="G83" s="77">
        <v>1.5509999999999999</v>
      </c>
      <c r="H83" s="77">
        <v>1.615</v>
      </c>
      <c r="I83" s="77">
        <v>1.5029999999999999</v>
      </c>
      <c r="J83" s="3">
        <v>21690</v>
      </c>
      <c r="K83" s="10" t="s">
        <v>68</v>
      </c>
      <c r="L83" s="1" t="s">
        <v>126</v>
      </c>
      <c r="M83" s="3">
        <v>0.92</v>
      </c>
      <c r="N83" s="22">
        <v>1.107</v>
      </c>
      <c r="O83" s="22">
        <f>+MAX(Tabla4[[#This Row],[6KWA]:[9KWA]])</f>
        <v>1.615</v>
      </c>
      <c r="P83" s="3">
        <f t="shared" si="8"/>
        <v>23</v>
      </c>
      <c r="Q83" s="3">
        <f t="shared" si="9"/>
        <v>3</v>
      </c>
      <c r="R83" s="3">
        <f t="shared" si="10"/>
        <v>13</v>
      </c>
      <c r="S83" s="3" t="str">
        <f t="shared" si="11"/>
        <v>marzo</v>
      </c>
      <c r="T83" s="21">
        <f t="shared" si="12"/>
        <v>549.15</v>
      </c>
      <c r="U83" s="21">
        <f t="shared" si="13"/>
        <v>542.85</v>
      </c>
      <c r="V83" s="21">
        <f t="shared" si="14"/>
        <v>565.25</v>
      </c>
      <c r="W83" s="21">
        <f>+Tabla4[[#This Row],[9KWA]]*350</f>
        <v>526.04999999999995</v>
      </c>
      <c r="X83" s="21">
        <f>350*Tabla4[[#This Row],[Max Factor Medido]]</f>
        <v>565.25</v>
      </c>
      <c r="Y83" s="39">
        <v>0.92</v>
      </c>
      <c r="Z83" s="3">
        <f t="shared" si="15"/>
        <v>2025</v>
      </c>
      <c r="AA83" s="21">
        <f>+MEDIAN(Tabla4[[#This Row],[kwreal 6]:[kwreal 9]])</f>
        <v>546</v>
      </c>
      <c r="AB83" s="21">
        <f>+Tabla4[[#This Row],[LineaBase-FD]]/350</f>
        <v>1.56</v>
      </c>
    </row>
    <row r="84" spans="1:28" x14ac:dyDescent="0.3">
      <c r="A84" s="28">
        <v>63860</v>
      </c>
      <c r="B84" s="3">
        <v>24249</v>
      </c>
      <c r="C84" s="3">
        <v>7960</v>
      </c>
      <c r="D84" s="3">
        <v>28854</v>
      </c>
      <c r="E84" s="3">
        <v>2801</v>
      </c>
      <c r="F84" s="77">
        <v>1.569</v>
      </c>
      <c r="G84" s="77">
        <v>1.5509999999999999</v>
      </c>
      <c r="H84" s="77">
        <v>1.615</v>
      </c>
      <c r="I84" s="77">
        <v>1.5029999999999999</v>
      </c>
      <c r="J84" s="3">
        <v>21703</v>
      </c>
      <c r="K84" s="10" t="s">
        <v>127</v>
      </c>
      <c r="L84" s="1" t="s">
        <v>128</v>
      </c>
      <c r="M84" s="3">
        <v>0.92</v>
      </c>
      <c r="N84" s="22">
        <v>1.262</v>
      </c>
      <c r="O84" s="22">
        <f>+MAX(Tabla4[[#This Row],[6KWA]:[9KWA]])</f>
        <v>1.615</v>
      </c>
      <c r="P84" s="3">
        <f t="shared" si="8"/>
        <v>24</v>
      </c>
      <c r="Q84" s="3">
        <f t="shared" si="9"/>
        <v>3</v>
      </c>
      <c r="R84" s="3">
        <f t="shared" si="10"/>
        <v>13</v>
      </c>
      <c r="S84" s="3" t="str">
        <f t="shared" si="11"/>
        <v>marzo</v>
      </c>
      <c r="T84" s="21">
        <f t="shared" si="12"/>
        <v>549.15</v>
      </c>
      <c r="U84" s="21">
        <f t="shared" si="13"/>
        <v>542.85</v>
      </c>
      <c r="V84" s="21">
        <f t="shared" si="14"/>
        <v>565.25</v>
      </c>
      <c r="W84" s="21">
        <f>+Tabla4[[#This Row],[9KWA]]*350</f>
        <v>526.04999999999995</v>
      </c>
      <c r="X84" s="21">
        <f>350*Tabla4[[#This Row],[Max Factor Medido]]</f>
        <v>565.25</v>
      </c>
      <c r="Y84" s="39">
        <v>0.92</v>
      </c>
      <c r="Z84" s="3">
        <f t="shared" si="15"/>
        <v>2025</v>
      </c>
      <c r="AA84" s="21">
        <f>+MEDIAN(Tabla4[[#This Row],[kwreal 6]:[kwreal 9]])</f>
        <v>546</v>
      </c>
      <c r="AB84" s="21">
        <f>+Tabla4[[#This Row],[LineaBase-FD]]/350</f>
        <v>1.56</v>
      </c>
    </row>
    <row r="85" spans="1:28" x14ac:dyDescent="0.3">
      <c r="A85" s="28">
        <v>63894</v>
      </c>
      <c r="B85" s="3">
        <v>24261</v>
      </c>
      <c r="C85" s="3">
        <v>7965</v>
      </c>
      <c r="D85" s="3">
        <v>28866</v>
      </c>
      <c r="E85" s="3">
        <v>2801</v>
      </c>
      <c r="F85" s="77">
        <v>1.569</v>
      </c>
      <c r="G85" s="77">
        <v>1.5509999999999999</v>
      </c>
      <c r="H85" s="77">
        <v>1.615</v>
      </c>
      <c r="I85" s="77">
        <v>1.5029999999999999</v>
      </c>
      <c r="J85" s="3">
        <v>21714</v>
      </c>
      <c r="K85" s="10" t="s">
        <v>84</v>
      </c>
      <c r="L85" s="1" t="s">
        <v>129</v>
      </c>
      <c r="M85" s="3">
        <v>0.92</v>
      </c>
      <c r="N85" s="22">
        <v>1.2569999999999999</v>
      </c>
      <c r="O85" s="22">
        <f>+MAX(Tabla4[[#This Row],[6KWA]:[9KWA]])</f>
        <v>1.615</v>
      </c>
      <c r="P85" s="3">
        <f t="shared" si="8"/>
        <v>25</v>
      </c>
      <c r="Q85" s="3">
        <f t="shared" si="9"/>
        <v>3</v>
      </c>
      <c r="R85" s="3">
        <f t="shared" si="10"/>
        <v>13</v>
      </c>
      <c r="S85" s="3" t="str">
        <f t="shared" si="11"/>
        <v>marzo</v>
      </c>
      <c r="T85" s="21">
        <f t="shared" si="12"/>
        <v>549.15</v>
      </c>
      <c r="U85" s="21">
        <f t="shared" si="13"/>
        <v>542.85</v>
      </c>
      <c r="V85" s="21">
        <f t="shared" si="14"/>
        <v>565.25</v>
      </c>
      <c r="W85" s="21">
        <f>+Tabla4[[#This Row],[9KWA]]*350</f>
        <v>526.04999999999995</v>
      </c>
      <c r="X85" s="21">
        <f>350*Tabla4[[#This Row],[Max Factor Medido]]</f>
        <v>565.25</v>
      </c>
      <c r="Y85" s="39">
        <v>0.92</v>
      </c>
      <c r="Z85" s="3">
        <f t="shared" si="15"/>
        <v>2025</v>
      </c>
      <c r="AA85" s="21">
        <f>+MEDIAN(Tabla4[[#This Row],[kwreal 6]:[kwreal 9]])</f>
        <v>546</v>
      </c>
      <c r="AB85" s="21">
        <f>+Tabla4[[#This Row],[LineaBase-FD]]/350</f>
        <v>1.56</v>
      </c>
    </row>
    <row r="86" spans="1:28" x14ac:dyDescent="0.3">
      <c r="A86" s="28">
        <v>63926</v>
      </c>
      <c r="B86" s="3">
        <v>24275</v>
      </c>
      <c r="C86" s="3">
        <v>7970</v>
      </c>
      <c r="D86" s="3">
        <v>28879</v>
      </c>
      <c r="E86" s="3">
        <v>2801</v>
      </c>
      <c r="F86" s="77">
        <v>1.569</v>
      </c>
      <c r="G86" s="77">
        <v>1.5509999999999999</v>
      </c>
      <c r="H86" s="77">
        <v>1.615</v>
      </c>
      <c r="I86" s="77">
        <v>1.5029999999999999</v>
      </c>
      <c r="J86" s="3">
        <v>21728</v>
      </c>
      <c r="K86" s="10" t="s">
        <v>130</v>
      </c>
      <c r="L86" s="1" t="s">
        <v>131</v>
      </c>
      <c r="M86" s="3">
        <v>0.89</v>
      </c>
      <c r="N86" s="22">
        <v>1.212</v>
      </c>
      <c r="O86" s="22">
        <f>+MAX(Tabla4[[#This Row],[6KWA]:[9KWA]])</f>
        <v>1.615</v>
      </c>
      <c r="P86" s="3">
        <f t="shared" si="8"/>
        <v>26</v>
      </c>
      <c r="Q86" s="3">
        <f t="shared" si="9"/>
        <v>3</v>
      </c>
      <c r="R86" s="3">
        <f t="shared" si="10"/>
        <v>13</v>
      </c>
      <c r="S86" s="3" t="str">
        <f t="shared" si="11"/>
        <v>marzo</v>
      </c>
      <c r="T86" s="21">
        <f t="shared" si="12"/>
        <v>549.15</v>
      </c>
      <c r="U86" s="21">
        <f t="shared" si="13"/>
        <v>542.85</v>
      </c>
      <c r="V86" s="21">
        <f t="shared" si="14"/>
        <v>565.25</v>
      </c>
      <c r="W86" s="21">
        <f>+Tabla4[[#This Row],[9KWA]]*350</f>
        <v>526.04999999999995</v>
      </c>
      <c r="X86" s="21">
        <f>350*Tabla4[[#This Row],[Max Factor Medido]]</f>
        <v>565.25</v>
      </c>
      <c r="Y86" s="39">
        <v>0.92</v>
      </c>
      <c r="Z86" s="3">
        <f t="shared" si="15"/>
        <v>2025</v>
      </c>
      <c r="AA86" s="21">
        <f>+MEDIAN(Tabla4[[#This Row],[kwreal 6]:[kwreal 9]])</f>
        <v>546</v>
      </c>
      <c r="AB86" s="21">
        <f>+Tabla4[[#This Row],[LineaBase-FD]]/350</f>
        <v>1.56</v>
      </c>
    </row>
    <row r="87" spans="1:28" x14ac:dyDescent="0.3">
      <c r="A87" s="28">
        <v>63956</v>
      </c>
      <c r="B87" s="3">
        <v>24288</v>
      </c>
      <c r="C87" s="3">
        <v>7976</v>
      </c>
      <c r="D87" s="3">
        <v>28890</v>
      </c>
      <c r="E87" s="3">
        <v>2801</v>
      </c>
      <c r="F87" s="77">
        <v>1.569</v>
      </c>
      <c r="G87" s="77">
        <v>1.5509999999999999</v>
      </c>
      <c r="H87" s="77">
        <v>1.615</v>
      </c>
      <c r="I87" s="77">
        <v>1.5029999999999999</v>
      </c>
      <c r="J87" s="3">
        <v>21792</v>
      </c>
      <c r="K87" s="10" t="s">
        <v>88</v>
      </c>
      <c r="L87" s="1" t="s">
        <v>132</v>
      </c>
      <c r="M87" s="3">
        <v>0.9</v>
      </c>
      <c r="N87" s="22">
        <v>1.1160000000000001</v>
      </c>
      <c r="O87" s="22">
        <f>+MAX(Tabla4[[#This Row],[6KWA]:[9KWA]])</f>
        <v>1.615</v>
      </c>
      <c r="P87" s="3">
        <f t="shared" si="8"/>
        <v>27</v>
      </c>
      <c r="Q87" s="3">
        <f t="shared" si="9"/>
        <v>3</v>
      </c>
      <c r="R87" s="3">
        <f t="shared" si="10"/>
        <v>13</v>
      </c>
      <c r="S87" s="3" t="str">
        <f t="shared" si="11"/>
        <v>marzo</v>
      </c>
      <c r="T87" s="21">
        <f t="shared" si="12"/>
        <v>549.15</v>
      </c>
      <c r="U87" s="21">
        <f t="shared" si="13"/>
        <v>542.85</v>
      </c>
      <c r="V87" s="21">
        <f t="shared" si="14"/>
        <v>565.25</v>
      </c>
      <c r="W87" s="21">
        <f>+Tabla4[[#This Row],[9KWA]]*350</f>
        <v>526.04999999999995</v>
      </c>
      <c r="X87" s="21">
        <f>350*Tabla4[[#This Row],[Max Factor Medido]]</f>
        <v>565.25</v>
      </c>
      <c r="Y87" s="39">
        <v>0.92</v>
      </c>
      <c r="Z87" s="3">
        <f t="shared" si="15"/>
        <v>2025</v>
      </c>
      <c r="AA87" s="21">
        <f>+MEDIAN(Tabla4[[#This Row],[kwreal 6]:[kwreal 9]])</f>
        <v>546</v>
      </c>
      <c r="AB87" s="21">
        <f>+Tabla4[[#This Row],[LineaBase-FD]]/350</f>
        <v>1.56</v>
      </c>
    </row>
    <row r="88" spans="1:28" x14ac:dyDescent="0.3">
      <c r="A88" s="28">
        <v>63987</v>
      </c>
      <c r="B88" s="3">
        <v>24301</v>
      </c>
      <c r="C88" s="3">
        <v>7981</v>
      </c>
      <c r="D88" s="3">
        <v>28903</v>
      </c>
      <c r="E88" s="3">
        <v>2801</v>
      </c>
      <c r="F88" s="77">
        <v>1.569</v>
      </c>
      <c r="G88" s="77">
        <v>1.5509999999999999</v>
      </c>
      <c r="H88" s="77">
        <v>1.615</v>
      </c>
      <c r="I88" s="77">
        <v>1.5029999999999999</v>
      </c>
      <c r="J88" s="3">
        <v>21754</v>
      </c>
      <c r="K88" s="10" t="s">
        <v>92</v>
      </c>
      <c r="L88" s="1" t="s">
        <v>133</v>
      </c>
      <c r="M88" s="3">
        <v>0.95</v>
      </c>
      <c r="N88" s="22">
        <v>1.1579999999999999</v>
      </c>
      <c r="O88" s="22">
        <f>+MAX(Tabla4[[#This Row],[6KWA]:[9KWA]])</f>
        <v>1.615</v>
      </c>
      <c r="P88" s="3">
        <f t="shared" si="8"/>
        <v>28</v>
      </c>
      <c r="Q88" s="3">
        <f t="shared" si="9"/>
        <v>3</v>
      </c>
      <c r="R88" s="3">
        <f t="shared" si="10"/>
        <v>13</v>
      </c>
      <c r="S88" s="3" t="str">
        <f t="shared" si="11"/>
        <v>marzo</v>
      </c>
      <c r="T88" s="21">
        <f t="shared" si="12"/>
        <v>549.15</v>
      </c>
      <c r="U88" s="21">
        <f t="shared" si="13"/>
        <v>542.85</v>
      </c>
      <c r="V88" s="21">
        <f t="shared" si="14"/>
        <v>565.25</v>
      </c>
      <c r="W88" s="21">
        <f>+Tabla4[[#This Row],[9KWA]]*350</f>
        <v>526.04999999999995</v>
      </c>
      <c r="X88" s="21">
        <f>350*Tabla4[[#This Row],[Max Factor Medido]]</f>
        <v>565.25</v>
      </c>
      <c r="Y88" s="39">
        <v>0.92</v>
      </c>
      <c r="Z88" s="3">
        <f t="shared" si="15"/>
        <v>2025</v>
      </c>
      <c r="AA88" s="21">
        <f>+MEDIAN(Tabla4[[#This Row],[kwreal 6]:[kwreal 9]])</f>
        <v>546</v>
      </c>
      <c r="AB88" s="21">
        <f>+Tabla4[[#This Row],[LineaBase-FD]]/350</f>
        <v>1.56</v>
      </c>
    </row>
    <row r="89" spans="1:28" x14ac:dyDescent="0.3">
      <c r="A89" s="28">
        <v>64012</v>
      </c>
      <c r="B89" s="3">
        <v>24309</v>
      </c>
      <c r="C89" s="3">
        <v>7983</v>
      </c>
      <c r="D89" s="3">
        <v>28929</v>
      </c>
      <c r="E89" s="3">
        <v>2806</v>
      </c>
      <c r="F89" s="77">
        <v>1.569</v>
      </c>
      <c r="G89" s="77">
        <v>1.5509999999999999</v>
      </c>
      <c r="H89" s="77">
        <v>1.615</v>
      </c>
      <c r="I89" s="77">
        <v>1.5029999999999999</v>
      </c>
      <c r="J89" s="3">
        <v>21779</v>
      </c>
      <c r="K89" s="10" t="s">
        <v>75</v>
      </c>
      <c r="L89" s="1" t="s">
        <v>134</v>
      </c>
      <c r="M89" s="3">
        <v>0.95</v>
      </c>
      <c r="N89" s="22">
        <v>1.153</v>
      </c>
      <c r="O89" s="22">
        <f>+MAX(Tabla4[[#This Row],[6KWA]:[9KWA]])</f>
        <v>1.615</v>
      </c>
      <c r="P89" s="3">
        <f t="shared" si="8"/>
        <v>29</v>
      </c>
      <c r="Q89" s="3">
        <f t="shared" si="9"/>
        <v>3</v>
      </c>
      <c r="R89" s="3">
        <f t="shared" si="10"/>
        <v>13</v>
      </c>
      <c r="S89" s="3" t="str">
        <f t="shared" si="11"/>
        <v>marzo</v>
      </c>
      <c r="T89" s="21">
        <f t="shared" si="12"/>
        <v>549.15</v>
      </c>
      <c r="U89" s="21">
        <f t="shared" si="13"/>
        <v>542.85</v>
      </c>
      <c r="V89" s="21">
        <f t="shared" si="14"/>
        <v>565.25</v>
      </c>
      <c r="W89" s="21">
        <f>+Tabla4[[#This Row],[9KWA]]*350</f>
        <v>526.04999999999995</v>
      </c>
      <c r="X89" s="21">
        <f>350*Tabla4[[#This Row],[Max Factor Medido]]</f>
        <v>565.25</v>
      </c>
      <c r="Y89" s="39">
        <v>0.92</v>
      </c>
      <c r="Z89" s="3">
        <f t="shared" si="15"/>
        <v>2025</v>
      </c>
      <c r="AA89" s="21">
        <f>+MEDIAN(Tabla4[[#This Row],[kwreal 6]:[kwreal 9]])</f>
        <v>546</v>
      </c>
      <c r="AB89" s="21">
        <f>+Tabla4[[#This Row],[LineaBase-FD]]/350</f>
        <v>1.56</v>
      </c>
    </row>
    <row r="90" spans="1:28" x14ac:dyDescent="0.3">
      <c r="A90" s="28">
        <v>64003</v>
      </c>
      <c r="B90" s="3">
        <v>24315</v>
      </c>
      <c r="C90" s="3">
        <v>7986</v>
      </c>
      <c r="D90" s="3">
        <v>28951</v>
      </c>
      <c r="E90" s="3">
        <v>2806</v>
      </c>
      <c r="F90" s="77">
        <v>1.569</v>
      </c>
      <c r="G90" s="77">
        <v>1.5509999999999999</v>
      </c>
      <c r="H90" s="77">
        <v>1.615</v>
      </c>
      <c r="I90" s="77">
        <v>1.5029999999999999</v>
      </c>
      <c r="J90" s="3">
        <v>21779</v>
      </c>
      <c r="K90" s="10" t="s">
        <v>135</v>
      </c>
      <c r="L90" s="1" t="s">
        <v>136</v>
      </c>
      <c r="M90" s="3">
        <v>0.95</v>
      </c>
      <c r="N90" s="22">
        <v>1.153</v>
      </c>
      <c r="O90" s="22">
        <f>+MAX(Tabla4[[#This Row],[6KWA]:[9KWA]])</f>
        <v>1.615</v>
      </c>
      <c r="P90" s="3">
        <f t="shared" si="8"/>
        <v>30</v>
      </c>
      <c r="Q90" s="3">
        <f t="shared" si="9"/>
        <v>3</v>
      </c>
      <c r="R90" s="3">
        <f t="shared" si="10"/>
        <v>14</v>
      </c>
      <c r="S90" s="3" t="str">
        <f t="shared" si="11"/>
        <v>marzo</v>
      </c>
      <c r="T90" s="21">
        <f t="shared" si="12"/>
        <v>549.15</v>
      </c>
      <c r="U90" s="21">
        <f t="shared" si="13"/>
        <v>542.85</v>
      </c>
      <c r="V90" s="21">
        <f t="shared" si="14"/>
        <v>565.25</v>
      </c>
      <c r="W90" s="21">
        <f>+Tabla4[[#This Row],[9KWA]]*350</f>
        <v>526.04999999999995</v>
      </c>
      <c r="X90" s="21">
        <f>350*Tabla4[[#This Row],[Max Factor Medido]]</f>
        <v>565.25</v>
      </c>
      <c r="Y90" s="39">
        <v>0.92</v>
      </c>
      <c r="Z90" s="3">
        <f t="shared" si="15"/>
        <v>2025</v>
      </c>
      <c r="AA90" s="21">
        <f>+MEDIAN(Tabla4[[#This Row],[kwreal 6]:[kwreal 9]])</f>
        <v>546</v>
      </c>
      <c r="AB90" s="21">
        <f>+Tabla4[[#This Row],[LineaBase-FD]]/350</f>
        <v>1.56</v>
      </c>
    </row>
    <row r="91" spans="1:28" x14ac:dyDescent="0.3">
      <c r="A91" s="28">
        <v>64077</v>
      </c>
      <c r="B91" s="3">
        <v>24315</v>
      </c>
      <c r="C91" s="3">
        <v>7986</v>
      </c>
      <c r="D91" s="3">
        <v>28964</v>
      </c>
      <c r="E91" s="3">
        <v>2811</v>
      </c>
      <c r="F91" s="77">
        <v>1.569</v>
      </c>
      <c r="G91" s="77">
        <v>1.5509999999999999</v>
      </c>
      <c r="H91" s="77">
        <v>1.615</v>
      </c>
      <c r="I91" s="77">
        <v>1.5029999999999999</v>
      </c>
      <c r="J91" s="3">
        <v>21785</v>
      </c>
      <c r="K91" s="10" t="s">
        <v>137</v>
      </c>
      <c r="L91" s="1" t="s">
        <v>138</v>
      </c>
      <c r="M91" s="3">
        <v>0.92</v>
      </c>
      <c r="N91" s="22">
        <v>1.1719999999999999</v>
      </c>
      <c r="O91" s="22">
        <f>+MAX(Tabla4[[#This Row],[6KWA]:[9KWA]])</f>
        <v>1.615</v>
      </c>
      <c r="P91" s="3">
        <f t="shared" si="8"/>
        <v>31</v>
      </c>
      <c r="Q91" s="3">
        <f t="shared" si="9"/>
        <v>3</v>
      </c>
      <c r="R91" s="3">
        <f t="shared" si="10"/>
        <v>14</v>
      </c>
      <c r="S91" s="3" t="str">
        <f t="shared" si="11"/>
        <v>marzo</v>
      </c>
      <c r="T91" s="21">
        <f t="shared" si="12"/>
        <v>549.15</v>
      </c>
      <c r="U91" s="21">
        <f t="shared" si="13"/>
        <v>542.85</v>
      </c>
      <c r="V91" s="21">
        <f t="shared" si="14"/>
        <v>565.25</v>
      </c>
      <c r="W91" s="21">
        <f>+Tabla4[[#This Row],[9KWA]]*350</f>
        <v>526.04999999999995</v>
      </c>
      <c r="X91" s="21">
        <f>350*Tabla4[[#This Row],[Max Factor Medido]]</f>
        <v>565.25</v>
      </c>
      <c r="Y91" s="39">
        <v>0.92</v>
      </c>
      <c r="Z91" s="3">
        <f t="shared" si="15"/>
        <v>2025</v>
      </c>
      <c r="AA91" s="21">
        <f>+MEDIAN(Tabla4[[#This Row],[kwreal 6]:[kwreal 9]])</f>
        <v>546</v>
      </c>
      <c r="AB91" s="21">
        <f>+Tabla4[[#This Row],[LineaBase-FD]]/350</f>
        <v>1.56</v>
      </c>
    </row>
    <row r="92" spans="1:28" x14ac:dyDescent="0.3">
      <c r="A92" s="28">
        <v>64110</v>
      </c>
      <c r="B92" s="3">
        <v>24330</v>
      </c>
      <c r="C92" s="3">
        <v>7991</v>
      </c>
      <c r="D92" s="3">
        <v>28976</v>
      </c>
      <c r="E92" s="3">
        <v>2811</v>
      </c>
      <c r="F92" s="77">
        <v>1.353</v>
      </c>
      <c r="G92" s="77">
        <v>0</v>
      </c>
      <c r="H92" s="77">
        <v>1.381</v>
      </c>
      <c r="I92" s="77">
        <v>0</v>
      </c>
      <c r="J92" s="3">
        <v>21797</v>
      </c>
      <c r="K92" s="10" t="s">
        <v>139</v>
      </c>
      <c r="L92" s="1">
        <v>45661</v>
      </c>
      <c r="M92" s="3">
        <v>0.93</v>
      </c>
      <c r="N92" s="67">
        <v>1.331</v>
      </c>
      <c r="O92" s="22">
        <f>+MAX(Tabla4[[#This Row],[6KWA]:[9KWA]])</f>
        <v>1.381</v>
      </c>
      <c r="P92" s="3">
        <f t="shared" si="8"/>
        <v>4</v>
      </c>
      <c r="Q92" s="3">
        <f t="shared" si="9"/>
        <v>1</v>
      </c>
      <c r="R92" s="3">
        <f t="shared" si="10"/>
        <v>1</v>
      </c>
      <c r="S92" s="3" t="str">
        <f t="shared" si="11"/>
        <v>enero</v>
      </c>
      <c r="T92" s="21">
        <f t="shared" si="12"/>
        <v>473.55</v>
      </c>
      <c r="U92" s="21">
        <f t="shared" si="13"/>
        <v>0</v>
      </c>
      <c r="V92" s="21">
        <f t="shared" si="14"/>
        <v>483.35</v>
      </c>
      <c r="W92" s="21">
        <f>+Tabla4[[#This Row],[9KWA]]*350</f>
        <v>0</v>
      </c>
      <c r="X92" s="21">
        <f>350*Tabla4[[#This Row],[Max Factor Medido]]</f>
        <v>483.35</v>
      </c>
      <c r="Y92" s="39">
        <v>0.92</v>
      </c>
      <c r="Z92" s="3">
        <f t="shared" si="15"/>
        <v>2025</v>
      </c>
      <c r="AA92" s="74">
        <f>+MEDIAN(Tabla4[[#This Row],[kwreal 6]:[kwreal 9]])</f>
        <v>236.77500000000001</v>
      </c>
      <c r="AB92" s="74">
        <f>+Tabla4[[#This Row],[LineaBase-FD]]/350</f>
        <v>0.67649999999999999</v>
      </c>
    </row>
    <row r="93" spans="1:28" x14ac:dyDescent="0.3">
      <c r="A93" s="29">
        <v>64141</v>
      </c>
      <c r="B93" s="2">
        <v>24344</v>
      </c>
      <c r="C93" s="2">
        <v>7996</v>
      </c>
      <c r="D93" s="3">
        <v>28988</v>
      </c>
      <c r="E93" s="2">
        <v>2811</v>
      </c>
      <c r="F93" s="77">
        <v>1.4630000000000001</v>
      </c>
      <c r="G93" s="77">
        <v>1.39</v>
      </c>
      <c r="H93" s="77">
        <v>1.3859999999999999</v>
      </c>
      <c r="I93" s="77">
        <v>0</v>
      </c>
      <c r="J93" s="2">
        <v>21808</v>
      </c>
      <c r="K93" s="9" t="s">
        <v>140</v>
      </c>
      <c r="L93" s="1">
        <v>45692</v>
      </c>
      <c r="M93" s="2">
        <v>0.64</v>
      </c>
      <c r="N93" s="22">
        <v>1.5</v>
      </c>
      <c r="O93" s="22">
        <f>+MAX(Tabla4[[#This Row],[6KWA]:[9KWA]])</f>
        <v>1.4630000000000001</v>
      </c>
      <c r="P93" s="3">
        <f t="shared" si="8"/>
        <v>4</v>
      </c>
      <c r="Q93" s="3">
        <f t="shared" si="9"/>
        <v>2</v>
      </c>
      <c r="R93" s="3">
        <f t="shared" si="10"/>
        <v>6</v>
      </c>
      <c r="S93" s="3" t="str">
        <f t="shared" si="11"/>
        <v>febrero</v>
      </c>
      <c r="T93" s="21">
        <f t="shared" si="12"/>
        <v>512.05000000000007</v>
      </c>
      <c r="U93" s="21">
        <f t="shared" si="13"/>
        <v>486.49999999999994</v>
      </c>
      <c r="V93" s="21">
        <f t="shared" si="14"/>
        <v>485.09999999999997</v>
      </c>
      <c r="W93" s="21">
        <f>+Tabla4[[#This Row],[9KWA]]*350</f>
        <v>0</v>
      </c>
      <c r="X93" s="21">
        <f>350*Tabla4[[#This Row],[Max Factor Medido]]</f>
        <v>512.05000000000007</v>
      </c>
      <c r="Y93" s="39">
        <v>0.92</v>
      </c>
      <c r="Z93" s="3">
        <f t="shared" si="15"/>
        <v>2025</v>
      </c>
      <c r="AA93" s="21">
        <f>+MEDIAN(Tabla4[[#This Row],[kwreal 6]:[kwreal 9]])</f>
        <v>485.79999999999995</v>
      </c>
      <c r="AB93" s="21">
        <f>+Tabla4[[#This Row],[LineaBase-FD]]/350</f>
        <v>1.3879999999999999</v>
      </c>
    </row>
    <row r="94" spans="1:28" x14ac:dyDescent="0.3">
      <c r="A94" s="28">
        <v>64167</v>
      </c>
      <c r="B94" s="3">
        <v>24354</v>
      </c>
      <c r="C94" s="3">
        <v>8001</v>
      </c>
      <c r="D94" s="3">
        <v>29000</v>
      </c>
      <c r="E94" s="3">
        <v>2811</v>
      </c>
      <c r="F94" s="77">
        <v>1.486</v>
      </c>
      <c r="G94" s="77">
        <v>1.393</v>
      </c>
      <c r="H94" s="77">
        <v>1.3859999999999999</v>
      </c>
      <c r="I94" s="77">
        <v>0</v>
      </c>
      <c r="J94" s="3">
        <v>21816</v>
      </c>
      <c r="K94" s="10" t="s">
        <v>141</v>
      </c>
      <c r="L94" s="1">
        <v>45720</v>
      </c>
      <c r="M94" s="2">
        <v>0.94</v>
      </c>
      <c r="N94" s="22">
        <v>1.1859999999999999</v>
      </c>
      <c r="O94" s="22">
        <f>+MAX(Tabla4[[#This Row],[6KWA]:[9KWA]])</f>
        <v>1.486</v>
      </c>
      <c r="P94" s="3">
        <f t="shared" si="8"/>
        <v>4</v>
      </c>
      <c r="Q94" s="3">
        <f t="shared" si="9"/>
        <v>3</v>
      </c>
      <c r="R94" s="3">
        <f t="shared" si="10"/>
        <v>10</v>
      </c>
      <c r="S94" s="3" t="str">
        <f t="shared" si="11"/>
        <v>marzo</v>
      </c>
      <c r="T94" s="21">
        <f t="shared" si="12"/>
        <v>520.1</v>
      </c>
      <c r="U94" s="21">
        <f t="shared" si="13"/>
        <v>487.55</v>
      </c>
      <c r="V94" s="21">
        <f t="shared" si="14"/>
        <v>485.09999999999997</v>
      </c>
      <c r="W94" s="21">
        <f>+Tabla4[[#This Row],[9KWA]]*350</f>
        <v>0</v>
      </c>
      <c r="X94" s="21">
        <f>350*Tabla4[[#This Row],[Max Factor Medido]]</f>
        <v>520.1</v>
      </c>
      <c r="Y94" s="39">
        <v>0.92</v>
      </c>
      <c r="Z94" s="3">
        <f t="shared" si="15"/>
        <v>2025</v>
      </c>
      <c r="AA94" s="21">
        <f>+MEDIAN(Tabla4[[#This Row],[kwreal 6]:[kwreal 9]])</f>
        <v>486.32499999999999</v>
      </c>
      <c r="AB94" s="21">
        <f>+Tabla4[[#This Row],[LineaBase-FD]]/350</f>
        <v>1.3895</v>
      </c>
    </row>
    <row r="95" spans="1:28" x14ac:dyDescent="0.3">
      <c r="A95" s="29">
        <v>64197</v>
      </c>
      <c r="B95" s="2">
        <v>24367</v>
      </c>
      <c r="C95" s="2">
        <v>8007</v>
      </c>
      <c r="D95" s="3">
        <v>29011</v>
      </c>
      <c r="E95" s="2">
        <v>2811</v>
      </c>
      <c r="F95" s="77">
        <v>1.5009999999999999</v>
      </c>
      <c r="G95" s="77">
        <v>1.4910000000000001</v>
      </c>
      <c r="H95" s="77">
        <v>1.3859999999999999</v>
      </c>
      <c r="I95" s="77">
        <v>0</v>
      </c>
      <c r="J95" s="2">
        <v>21825</v>
      </c>
      <c r="K95" s="9" t="s">
        <v>34</v>
      </c>
      <c r="L95" s="1">
        <v>45751</v>
      </c>
      <c r="M95" s="2">
        <v>0.94</v>
      </c>
      <c r="N95" s="22">
        <v>1.3440000000000001</v>
      </c>
      <c r="O95" s="22">
        <f>+MAX(Tabla4[[#This Row],[6KWA]:[9KWA]])</f>
        <v>1.5009999999999999</v>
      </c>
      <c r="P95" s="3">
        <f t="shared" si="8"/>
        <v>4</v>
      </c>
      <c r="Q95" s="3">
        <f t="shared" si="9"/>
        <v>4</v>
      </c>
      <c r="R95" s="3">
        <f t="shared" si="10"/>
        <v>14</v>
      </c>
      <c r="S95" s="3" t="str">
        <f t="shared" si="11"/>
        <v>abril</v>
      </c>
      <c r="T95" s="21">
        <f t="shared" si="12"/>
        <v>525.34999999999991</v>
      </c>
      <c r="U95" s="21">
        <f t="shared" si="13"/>
        <v>521.85</v>
      </c>
      <c r="V95" s="21">
        <f t="shared" si="14"/>
        <v>485.09999999999997</v>
      </c>
      <c r="W95" s="21">
        <f>+Tabla4[[#This Row],[9KWA]]*350</f>
        <v>0</v>
      </c>
      <c r="X95" s="21">
        <f>350*Tabla4[[#This Row],[Max Factor Medido]]</f>
        <v>525.34999999999991</v>
      </c>
      <c r="Y95" s="39">
        <v>0.92</v>
      </c>
      <c r="Z95" s="3">
        <f t="shared" si="15"/>
        <v>2025</v>
      </c>
      <c r="AA95" s="21">
        <f>+MEDIAN(Tabla4[[#This Row],[kwreal 6]:[kwreal 9]])</f>
        <v>503.47500000000002</v>
      </c>
      <c r="AB95" s="21">
        <f>+Tabla4[[#This Row],[LineaBase-FD]]/350</f>
        <v>1.4385000000000001</v>
      </c>
    </row>
    <row r="96" spans="1:28" x14ac:dyDescent="0.3">
      <c r="A96" s="29">
        <v>64230</v>
      </c>
      <c r="B96" s="2">
        <v>24381</v>
      </c>
      <c r="C96" s="2">
        <v>8012</v>
      </c>
      <c r="D96" s="3">
        <v>29026</v>
      </c>
      <c r="E96" s="2">
        <v>2811</v>
      </c>
      <c r="F96" s="77">
        <v>1.5009999999999999</v>
      </c>
      <c r="G96" s="77">
        <v>1.4910000000000001</v>
      </c>
      <c r="H96" s="77">
        <v>1.4079999999999999</v>
      </c>
      <c r="I96" s="77">
        <v>0</v>
      </c>
      <c r="J96" s="2">
        <v>21836</v>
      </c>
      <c r="K96" s="9" t="s">
        <v>142</v>
      </c>
      <c r="L96" s="1">
        <v>45781</v>
      </c>
      <c r="M96" s="2">
        <v>0.94</v>
      </c>
      <c r="N96" s="22">
        <v>1.21</v>
      </c>
      <c r="O96" s="22">
        <f>+MAX(Tabla4[[#This Row],[6KWA]:[9KWA]])</f>
        <v>1.5009999999999999</v>
      </c>
      <c r="P96" s="3">
        <f t="shared" si="8"/>
        <v>4</v>
      </c>
      <c r="Q96" s="3">
        <f t="shared" si="9"/>
        <v>5</v>
      </c>
      <c r="R96" s="3">
        <f t="shared" si="10"/>
        <v>19</v>
      </c>
      <c r="S96" s="3" t="str">
        <f t="shared" si="11"/>
        <v>mayo</v>
      </c>
      <c r="T96" s="21">
        <f t="shared" si="12"/>
        <v>525.34999999999991</v>
      </c>
      <c r="U96" s="21">
        <f t="shared" si="13"/>
        <v>521.85</v>
      </c>
      <c r="V96" s="21">
        <f t="shared" si="14"/>
        <v>492.79999999999995</v>
      </c>
      <c r="W96" s="21">
        <f>+Tabla4[[#This Row],[9KWA]]*350</f>
        <v>0</v>
      </c>
      <c r="X96" s="21">
        <f>350*Tabla4[[#This Row],[Max Factor Medido]]</f>
        <v>525.34999999999991</v>
      </c>
      <c r="Y96" s="39">
        <v>0.94</v>
      </c>
      <c r="Z96" s="3">
        <f t="shared" si="15"/>
        <v>2025</v>
      </c>
      <c r="AA96" s="21">
        <f>+MEDIAN(Tabla4[[#This Row],[kwreal 6]:[kwreal 9]])</f>
        <v>507.32499999999999</v>
      </c>
      <c r="AB96" s="21">
        <f>+Tabla4[[#This Row],[LineaBase-FD]]/350</f>
        <v>1.4495</v>
      </c>
    </row>
    <row r="97" spans="1:28" x14ac:dyDescent="0.3">
      <c r="A97" s="28">
        <v>64261</v>
      </c>
      <c r="B97" s="3">
        <v>24381</v>
      </c>
      <c r="C97" s="3">
        <v>8012</v>
      </c>
      <c r="D97" s="3">
        <v>29051</v>
      </c>
      <c r="E97" s="3">
        <v>2816</v>
      </c>
      <c r="F97" s="77">
        <v>1.5009999999999999</v>
      </c>
      <c r="G97" s="77">
        <v>1.4910000000000001</v>
      </c>
      <c r="H97" s="77">
        <v>1.5049999999999999</v>
      </c>
      <c r="I97" s="77">
        <v>1.45</v>
      </c>
      <c r="J97" s="3">
        <v>21845</v>
      </c>
      <c r="K97" s="10" t="s">
        <v>143</v>
      </c>
      <c r="L97" s="1">
        <v>45812</v>
      </c>
      <c r="M97" s="2">
        <v>0.95</v>
      </c>
      <c r="N97" s="22">
        <v>1.26</v>
      </c>
      <c r="O97" s="22">
        <f>+MAX(Tabla4[[#This Row],[6KWA]:[9KWA]])</f>
        <v>1.5049999999999999</v>
      </c>
      <c r="P97" s="3">
        <f t="shared" si="8"/>
        <v>4</v>
      </c>
      <c r="Q97" s="3">
        <f t="shared" si="9"/>
        <v>6</v>
      </c>
      <c r="R97" s="3">
        <f t="shared" si="10"/>
        <v>23</v>
      </c>
      <c r="S97" s="3" t="str">
        <f t="shared" si="11"/>
        <v>junio</v>
      </c>
      <c r="T97" s="21">
        <f t="shared" si="12"/>
        <v>525.34999999999991</v>
      </c>
      <c r="U97" s="21">
        <f t="shared" si="13"/>
        <v>521.85</v>
      </c>
      <c r="V97" s="21">
        <f t="shared" si="14"/>
        <v>526.75</v>
      </c>
      <c r="W97" s="21">
        <f>+Tabla4[[#This Row],[9KWA]]*350</f>
        <v>507.5</v>
      </c>
      <c r="X97" s="21">
        <f>350*Tabla4[[#This Row],[Max Factor Medido]]</f>
        <v>526.75</v>
      </c>
      <c r="Y97" s="39">
        <v>0.94</v>
      </c>
      <c r="Z97" s="3">
        <f t="shared" si="15"/>
        <v>2025</v>
      </c>
      <c r="AA97" s="21">
        <f>+MEDIAN(Tabla4[[#This Row],[kwreal 6]:[kwreal 9]])</f>
        <v>523.59999999999991</v>
      </c>
      <c r="AB97" s="21">
        <f>+Tabla4[[#This Row],[LineaBase-FD]]/350</f>
        <v>1.4959999999999998</v>
      </c>
    </row>
    <row r="98" spans="1:28" x14ac:dyDescent="0.3">
      <c r="A98" s="28">
        <v>64287</v>
      </c>
      <c r="B98" s="3">
        <v>24381</v>
      </c>
      <c r="C98" s="3">
        <v>8012</v>
      </c>
      <c r="D98" s="3">
        <v>29073</v>
      </c>
      <c r="E98" s="3">
        <v>2820</v>
      </c>
      <c r="F98" s="77">
        <v>1.5009999999999999</v>
      </c>
      <c r="G98" s="77">
        <v>1.4910000000000001</v>
      </c>
      <c r="H98" s="77">
        <v>1.508</v>
      </c>
      <c r="I98" s="77">
        <v>1.45</v>
      </c>
      <c r="J98" s="3">
        <v>21852</v>
      </c>
      <c r="K98" s="10" t="s">
        <v>144</v>
      </c>
      <c r="L98" s="1">
        <v>45842</v>
      </c>
      <c r="M98" s="3">
        <v>0.96</v>
      </c>
      <c r="N98" s="22">
        <v>1.056</v>
      </c>
      <c r="O98" s="22">
        <f>+MAX(Tabla4[[#This Row],[6KWA]:[9KWA]])</f>
        <v>1.508</v>
      </c>
      <c r="P98" s="3">
        <f t="shared" si="8"/>
        <v>4</v>
      </c>
      <c r="Q98" s="3">
        <f t="shared" si="9"/>
        <v>7</v>
      </c>
      <c r="R98" s="3">
        <f t="shared" si="10"/>
        <v>27</v>
      </c>
      <c r="S98" s="3" t="str">
        <f t="shared" si="11"/>
        <v>julio</v>
      </c>
      <c r="T98" s="21">
        <f t="shared" si="12"/>
        <v>525.34999999999991</v>
      </c>
      <c r="U98" s="21">
        <f t="shared" si="13"/>
        <v>521.85</v>
      </c>
      <c r="V98" s="21">
        <f t="shared" si="14"/>
        <v>527.79999999999995</v>
      </c>
      <c r="W98" s="21">
        <f>+Tabla4[[#This Row],[9KWA]]*350</f>
        <v>507.5</v>
      </c>
      <c r="X98" s="21">
        <f>350*Tabla4[[#This Row],[Max Factor Medido]]</f>
        <v>527.79999999999995</v>
      </c>
      <c r="Y98" s="39">
        <v>0.94</v>
      </c>
      <c r="Z98" s="3">
        <f t="shared" si="15"/>
        <v>2025</v>
      </c>
      <c r="AA98" s="21">
        <f>+MEDIAN(Tabla4[[#This Row],[kwreal 6]:[kwreal 9]])</f>
        <v>523.59999999999991</v>
      </c>
      <c r="AB98" s="21">
        <f>+Tabla4[[#This Row],[LineaBase-FD]]/350</f>
        <v>1.4959999999999998</v>
      </c>
    </row>
    <row r="99" spans="1:28" x14ac:dyDescent="0.3">
      <c r="A99" s="28">
        <v>64321</v>
      </c>
      <c r="B99" s="3">
        <v>24397</v>
      </c>
      <c r="C99" s="3">
        <v>8017</v>
      </c>
      <c r="D99" s="3">
        <v>29086</v>
      </c>
      <c r="E99" s="3">
        <v>2820</v>
      </c>
      <c r="F99" s="77">
        <v>1.5009999999999999</v>
      </c>
      <c r="G99" s="77">
        <v>1.4910000000000001</v>
      </c>
      <c r="H99" s="77">
        <v>1.508</v>
      </c>
      <c r="I99" s="77">
        <v>1.45</v>
      </c>
      <c r="J99" s="3">
        <v>21861</v>
      </c>
      <c r="K99" s="10" t="s">
        <v>145</v>
      </c>
      <c r="L99" s="1">
        <v>45873</v>
      </c>
      <c r="M99" s="3">
        <v>0.95</v>
      </c>
      <c r="N99" s="22">
        <v>1.448</v>
      </c>
      <c r="O99" s="22">
        <f>+MAX(Tabla4[[#This Row],[6KWA]:[9KWA]])</f>
        <v>1.508</v>
      </c>
      <c r="P99" s="3">
        <f t="shared" si="8"/>
        <v>4</v>
      </c>
      <c r="Q99" s="3">
        <f t="shared" si="9"/>
        <v>8</v>
      </c>
      <c r="R99" s="3">
        <f t="shared" si="10"/>
        <v>32</v>
      </c>
      <c r="S99" s="3" t="str">
        <f t="shared" si="11"/>
        <v>agosto</v>
      </c>
      <c r="T99" s="21">
        <f t="shared" si="12"/>
        <v>525.34999999999991</v>
      </c>
      <c r="U99" s="21">
        <f t="shared" si="13"/>
        <v>521.85</v>
      </c>
      <c r="V99" s="21">
        <f t="shared" si="14"/>
        <v>527.79999999999995</v>
      </c>
      <c r="W99" s="21">
        <f>+Tabla4[[#This Row],[9KWA]]*350</f>
        <v>507.5</v>
      </c>
      <c r="X99" s="21">
        <f>350*Tabla4[[#This Row],[Max Factor Medido]]</f>
        <v>527.79999999999995</v>
      </c>
      <c r="Y99" s="39">
        <v>0.94</v>
      </c>
      <c r="Z99" s="3">
        <f t="shared" si="15"/>
        <v>2025</v>
      </c>
      <c r="AA99" s="21">
        <f>+MEDIAN(Tabla4[[#This Row],[kwreal 6]:[kwreal 9]])</f>
        <v>523.59999999999991</v>
      </c>
      <c r="AB99" s="21">
        <f>+Tabla4[[#This Row],[LineaBase-FD]]/350</f>
        <v>1.4959999999999998</v>
      </c>
    </row>
    <row r="100" spans="1:28" x14ac:dyDescent="0.3">
      <c r="A100" s="28">
        <v>64346</v>
      </c>
      <c r="B100" s="3">
        <v>24406</v>
      </c>
      <c r="C100" s="3">
        <v>8022</v>
      </c>
      <c r="D100" s="3">
        <v>29096</v>
      </c>
      <c r="E100" s="3">
        <v>2820</v>
      </c>
      <c r="F100" s="77">
        <v>1.5009999999999999</v>
      </c>
      <c r="G100" s="77">
        <v>1.4910000000000001</v>
      </c>
      <c r="H100" s="77">
        <v>1.508</v>
      </c>
      <c r="I100" s="77">
        <v>1.45</v>
      </c>
      <c r="J100" s="3">
        <v>21868</v>
      </c>
      <c r="K100" s="10" t="s">
        <v>75</v>
      </c>
      <c r="L100" s="1">
        <v>45904</v>
      </c>
      <c r="M100" s="3">
        <v>0.96</v>
      </c>
      <c r="N100" s="22">
        <v>1.706</v>
      </c>
      <c r="O100" s="22">
        <f>+MAX(Tabla4[[#This Row],[6KWA]:[9KWA]])</f>
        <v>1.508</v>
      </c>
      <c r="P100" s="3">
        <f t="shared" si="8"/>
        <v>4</v>
      </c>
      <c r="Q100" s="3">
        <f t="shared" si="9"/>
        <v>9</v>
      </c>
      <c r="R100" s="3">
        <f t="shared" si="10"/>
        <v>36</v>
      </c>
      <c r="S100" s="3" t="str">
        <f t="shared" si="11"/>
        <v>septiembre</v>
      </c>
      <c r="T100" s="21">
        <f t="shared" si="12"/>
        <v>525.34999999999991</v>
      </c>
      <c r="U100" s="21">
        <f t="shared" si="13"/>
        <v>521.85</v>
      </c>
      <c r="V100" s="21">
        <f t="shared" si="14"/>
        <v>527.79999999999995</v>
      </c>
      <c r="W100" s="21">
        <f>+Tabla4[[#This Row],[9KWA]]*350</f>
        <v>507.5</v>
      </c>
      <c r="X100" s="21">
        <f>350*Tabla4[[#This Row],[Max Factor Medido]]</f>
        <v>527.79999999999995</v>
      </c>
      <c r="Y100" s="39">
        <v>0.94</v>
      </c>
      <c r="Z100" s="3">
        <f t="shared" si="15"/>
        <v>2025</v>
      </c>
      <c r="AA100" s="21">
        <f>+MEDIAN(Tabla4[[#This Row],[kwreal 6]:[kwreal 9]])</f>
        <v>523.59999999999991</v>
      </c>
      <c r="AB100" s="21">
        <f>+Tabla4[[#This Row],[LineaBase-FD]]/350</f>
        <v>1.4959999999999998</v>
      </c>
    </row>
    <row r="101" spans="1:28" x14ac:dyDescent="0.3">
      <c r="A101" s="28">
        <v>64376</v>
      </c>
      <c r="B101" s="3">
        <v>24419</v>
      </c>
      <c r="C101" s="3">
        <v>8027</v>
      </c>
      <c r="D101" s="3">
        <v>29108</v>
      </c>
      <c r="E101" s="3">
        <v>2820</v>
      </c>
      <c r="F101" s="77">
        <v>1.5009999999999999</v>
      </c>
      <c r="G101" s="77">
        <v>1.4910000000000001</v>
      </c>
      <c r="H101" s="77">
        <v>1.508</v>
      </c>
      <c r="I101" s="77">
        <v>1.45</v>
      </c>
      <c r="J101" s="3">
        <v>21877</v>
      </c>
      <c r="K101" s="10" t="s">
        <v>137</v>
      </c>
      <c r="L101" s="1">
        <v>45934</v>
      </c>
      <c r="M101" s="3">
        <v>0.94</v>
      </c>
      <c r="N101" s="22">
        <v>1.1970000000000001</v>
      </c>
      <c r="O101" s="22">
        <f>+MAX(Tabla4[[#This Row],[6KWA]:[9KWA]])</f>
        <v>1.508</v>
      </c>
      <c r="P101" s="3">
        <f t="shared" si="8"/>
        <v>4</v>
      </c>
      <c r="Q101" s="3">
        <f t="shared" si="9"/>
        <v>10</v>
      </c>
      <c r="R101" s="3">
        <f t="shared" si="10"/>
        <v>40</v>
      </c>
      <c r="S101" s="3" t="str">
        <f t="shared" si="11"/>
        <v>octubre</v>
      </c>
      <c r="T101" s="21">
        <f t="shared" si="12"/>
        <v>525.34999999999991</v>
      </c>
      <c r="U101" s="21">
        <f t="shared" si="13"/>
        <v>521.85</v>
      </c>
      <c r="V101" s="21">
        <f t="shared" si="14"/>
        <v>527.79999999999995</v>
      </c>
      <c r="W101" s="21">
        <f>+Tabla4[[#This Row],[9KWA]]*350</f>
        <v>507.5</v>
      </c>
      <c r="X101" s="21">
        <f>350*Tabla4[[#This Row],[Max Factor Medido]]</f>
        <v>527.79999999999995</v>
      </c>
      <c r="Y101" s="39">
        <v>0.94</v>
      </c>
      <c r="Z101" s="3">
        <f t="shared" si="15"/>
        <v>2025</v>
      </c>
      <c r="AA101" s="21">
        <f>+MEDIAN(Tabla4[[#This Row],[kwreal 6]:[kwreal 9]])</f>
        <v>523.59999999999991</v>
      </c>
      <c r="AB101" s="21">
        <f>+Tabla4[[#This Row],[LineaBase-FD]]/350</f>
        <v>1.4959999999999998</v>
      </c>
    </row>
    <row r="102" spans="1:28" x14ac:dyDescent="0.3">
      <c r="A102" s="28">
        <v>64409</v>
      </c>
      <c r="B102" s="3">
        <v>24435</v>
      </c>
      <c r="C102" s="3">
        <v>8032</v>
      </c>
      <c r="D102" s="3">
        <v>29120</v>
      </c>
      <c r="E102" s="3">
        <v>2820</v>
      </c>
      <c r="F102" s="77">
        <v>1.5009999999999999</v>
      </c>
      <c r="G102" s="77">
        <v>1.4910000000000001</v>
      </c>
      <c r="H102" s="77">
        <v>1.508</v>
      </c>
      <c r="I102" s="77">
        <v>1.45</v>
      </c>
      <c r="J102" s="3">
        <v>21886</v>
      </c>
      <c r="K102" s="10" t="s">
        <v>146</v>
      </c>
      <c r="L102" s="1">
        <v>45965</v>
      </c>
      <c r="M102" s="3">
        <v>0.96</v>
      </c>
      <c r="N102" s="22">
        <v>1.3420000000000001</v>
      </c>
      <c r="O102" s="22">
        <f>+MAX(Tabla4[[#This Row],[6KWA]:[9KWA]])</f>
        <v>1.508</v>
      </c>
      <c r="P102" s="3">
        <f t="shared" si="8"/>
        <v>4</v>
      </c>
      <c r="Q102" s="3">
        <f t="shared" si="9"/>
        <v>11</v>
      </c>
      <c r="R102" s="3">
        <f t="shared" si="10"/>
        <v>45</v>
      </c>
      <c r="S102" s="3" t="str">
        <f t="shared" si="11"/>
        <v>noviembre</v>
      </c>
      <c r="T102" s="21">
        <f t="shared" si="12"/>
        <v>525.34999999999991</v>
      </c>
      <c r="U102" s="21">
        <f t="shared" si="13"/>
        <v>521.85</v>
      </c>
      <c r="V102" s="21">
        <f t="shared" si="14"/>
        <v>527.79999999999995</v>
      </c>
      <c r="W102" s="21">
        <f>+Tabla4[[#This Row],[9KWA]]*350</f>
        <v>507.5</v>
      </c>
      <c r="X102" s="21">
        <f>350*Tabla4[[#This Row],[Max Factor Medido]]</f>
        <v>527.79999999999995</v>
      </c>
      <c r="Y102" s="39">
        <v>0.94</v>
      </c>
      <c r="Z102" s="3">
        <f t="shared" si="15"/>
        <v>2025</v>
      </c>
      <c r="AA102" s="21">
        <f>+MEDIAN(Tabla4[[#This Row],[kwreal 6]:[kwreal 9]])</f>
        <v>523.59999999999991</v>
      </c>
      <c r="AB102" s="21">
        <f>+Tabla4[[#This Row],[LineaBase-FD]]/350</f>
        <v>1.4959999999999998</v>
      </c>
    </row>
    <row r="103" spans="1:28" x14ac:dyDescent="0.3">
      <c r="A103" s="29">
        <v>64432</v>
      </c>
      <c r="B103" s="2">
        <v>24443</v>
      </c>
      <c r="C103" s="2">
        <v>8036</v>
      </c>
      <c r="D103" s="3">
        <v>29131</v>
      </c>
      <c r="E103" s="2">
        <v>2820</v>
      </c>
      <c r="F103" s="77">
        <v>1.5009999999999999</v>
      </c>
      <c r="G103" s="77">
        <v>1.4910000000000001</v>
      </c>
      <c r="H103" s="77">
        <v>1.508</v>
      </c>
      <c r="I103" s="77">
        <v>1.45</v>
      </c>
      <c r="J103" s="2">
        <v>21892</v>
      </c>
      <c r="K103" s="9" t="s">
        <v>57</v>
      </c>
      <c r="L103" s="1">
        <v>45995</v>
      </c>
      <c r="M103" s="3">
        <v>0.96</v>
      </c>
      <c r="N103" s="22">
        <v>1.069</v>
      </c>
      <c r="O103" s="22">
        <f>+MAX(Tabla4[[#This Row],[6KWA]:[9KWA]])</f>
        <v>1.508</v>
      </c>
      <c r="P103" s="3">
        <f t="shared" si="8"/>
        <v>4</v>
      </c>
      <c r="Q103" s="3">
        <f t="shared" si="9"/>
        <v>12</v>
      </c>
      <c r="R103" s="3">
        <f t="shared" si="10"/>
        <v>49</v>
      </c>
      <c r="S103" s="3" t="str">
        <f t="shared" si="11"/>
        <v>diciembre</v>
      </c>
      <c r="T103" s="21">
        <f t="shared" si="12"/>
        <v>525.34999999999991</v>
      </c>
      <c r="U103" s="21">
        <f t="shared" si="13"/>
        <v>521.85</v>
      </c>
      <c r="V103" s="21">
        <f t="shared" si="14"/>
        <v>527.79999999999995</v>
      </c>
      <c r="W103" s="21">
        <f>+Tabla4[[#This Row],[9KWA]]*350</f>
        <v>507.5</v>
      </c>
      <c r="X103" s="21">
        <f>350*Tabla4[[#This Row],[Max Factor Medido]]</f>
        <v>527.79999999999995</v>
      </c>
      <c r="Y103" s="39">
        <v>0.94</v>
      </c>
      <c r="Z103" s="3">
        <f t="shared" si="15"/>
        <v>2025</v>
      </c>
      <c r="AA103" s="21">
        <f>+MEDIAN(Tabla4[[#This Row],[kwreal 6]:[kwreal 9]])</f>
        <v>523.59999999999991</v>
      </c>
      <c r="AB103" s="21">
        <f>+Tabla4[[#This Row],[LineaBase-FD]]/350</f>
        <v>1.4959999999999998</v>
      </c>
    </row>
    <row r="104" spans="1:28" x14ac:dyDescent="0.3">
      <c r="A104" s="29">
        <v>64450</v>
      </c>
      <c r="B104" s="2">
        <v>24444</v>
      </c>
      <c r="C104" s="2">
        <v>8036</v>
      </c>
      <c r="D104" s="3">
        <v>29150</v>
      </c>
      <c r="E104" s="2">
        <v>2825</v>
      </c>
      <c r="F104" s="77">
        <v>1.5009999999999999</v>
      </c>
      <c r="G104" s="77">
        <v>1.4910000000000001</v>
      </c>
      <c r="H104" s="77">
        <v>1.508</v>
      </c>
      <c r="I104" s="77">
        <v>1.45</v>
      </c>
      <c r="J104" s="2">
        <v>21900</v>
      </c>
      <c r="K104" s="9" t="s">
        <v>36</v>
      </c>
      <c r="L104" s="4" t="s">
        <v>147</v>
      </c>
      <c r="M104" s="2">
        <v>0.96</v>
      </c>
      <c r="N104" s="22">
        <v>1.1559999999999999</v>
      </c>
      <c r="O104" s="22">
        <f>+MAX(Tabla4[[#This Row],[6KWA]:[9KWA]])</f>
        <v>1.508</v>
      </c>
      <c r="P104" s="3">
        <f t="shared" si="8"/>
        <v>13</v>
      </c>
      <c r="Q104" s="3">
        <f t="shared" si="9"/>
        <v>4</v>
      </c>
      <c r="R104" s="3">
        <f t="shared" si="10"/>
        <v>16</v>
      </c>
      <c r="S104" s="3" t="str">
        <f t="shared" si="11"/>
        <v>abril</v>
      </c>
      <c r="T104" s="21">
        <f t="shared" si="12"/>
        <v>525.34999999999991</v>
      </c>
      <c r="U104" s="21">
        <f t="shared" si="13"/>
        <v>521.85</v>
      </c>
      <c r="V104" s="21">
        <f t="shared" si="14"/>
        <v>527.79999999999995</v>
      </c>
      <c r="W104" s="21">
        <f>+Tabla4[[#This Row],[9KWA]]*350</f>
        <v>507.5</v>
      </c>
      <c r="X104" s="21">
        <f>350*Tabla4[[#This Row],[Max Factor Medido]]</f>
        <v>527.79999999999995</v>
      </c>
      <c r="Y104" s="39">
        <v>0.92</v>
      </c>
      <c r="Z104" s="3">
        <f t="shared" si="15"/>
        <v>2025</v>
      </c>
      <c r="AA104" s="21">
        <f>+MEDIAN(Tabla4[[#This Row],[kwreal 6]:[kwreal 9]])</f>
        <v>523.59999999999991</v>
      </c>
      <c r="AB104" s="21">
        <f>+Tabla4[[#This Row],[LineaBase-FD]]/350</f>
        <v>1.4959999999999998</v>
      </c>
    </row>
    <row r="105" spans="1:28" x14ac:dyDescent="0.3">
      <c r="A105" s="28">
        <v>64491</v>
      </c>
      <c r="B105" s="3">
        <v>24445</v>
      </c>
      <c r="C105" s="3">
        <v>8036</v>
      </c>
      <c r="D105" s="3">
        <v>29178</v>
      </c>
      <c r="E105" s="3">
        <v>2830</v>
      </c>
      <c r="F105" s="77">
        <v>1.5009999999999999</v>
      </c>
      <c r="G105" s="77">
        <v>1.4910000000000001</v>
      </c>
      <c r="H105" s="77">
        <v>1.508</v>
      </c>
      <c r="I105" s="77">
        <v>1.45</v>
      </c>
      <c r="J105" s="3">
        <v>21909</v>
      </c>
      <c r="K105" s="10" t="s">
        <v>148</v>
      </c>
      <c r="L105" s="1" t="s">
        <v>149</v>
      </c>
      <c r="M105" s="3">
        <v>0.96</v>
      </c>
      <c r="N105" s="22">
        <v>1.157</v>
      </c>
      <c r="O105" s="22">
        <f>+MAX(Tabla4[[#This Row],[6KWA]:[9KWA]])</f>
        <v>1.508</v>
      </c>
      <c r="P105" s="3">
        <f t="shared" si="8"/>
        <v>14</v>
      </c>
      <c r="Q105" s="3">
        <f t="shared" si="9"/>
        <v>4</v>
      </c>
      <c r="R105" s="3">
        <f t="shared" si="10"/>
        <v>16</v>
      </c>
      <c r="S105" s="3" t="str">
        <f t="shared" si="11"/>
        <v>abril</v>
      </c>
      <c r="T105" s="21">
        <f t="shared" si="12"/>
        <v>525.34999999999991</v>
      </c>
      <c r="U105" s="21">
        <f t="shared" si="13"/>
        <v>521.85</v>
      </c>
      <c r="V105" s="21">
        <f t="shared" si="14"/>
        <v>527.79999999999995</v>
      </c>
      <c r="W105" s="21">
        <f>+Tabla4[[#This Row],[9KWA]]*350</f>
        <v>507.5</v>
      </c>
      <c r="X105" s="21">
        <f>350*Tabla4[[#This Row],[Max Factor Medido]]</f>
        <v>527.79999999999995</v>
      </c>
      <c r="Y105" s="39">
        <v>0.92</v>
      </c>
      <c r="Z105" s="3">
        <f t="shared" si="15"/>
        <v>2025</v>
      </c>
      <c r="AA105" s="21">
        <f>+MEDIAN(Tabla4[[#This Row],[kwreal 6]:[kwreal 9]])</f>
        <v>523.59999999999991</v>
      </c>
      <c r="AB105" s="21">
        <f>+Tabla4[[#This Row],[LineaBase-FD]]/350</f>
        <v>1.4959999999999998</v>
      </c>
    </row>
    <row r="106" spans="1:28" x14ac:dyDescent="0.3">
      <c r="A106" s="28">
        <v>69518</v>
      </c>
      <c r="B106" s="3">
        <v>24455</v>
      </c>
      <c r="C106" s="3">
        <v>8041</v>
      </c>
      <c r="D106" s="3">
        <v>29190</v>
      </c>
      <c r="E106" s="3">
        <v>2830</v>
      </c>
      <c r="F106" s="77">
        <v>1.5009999999999999</v>
      </c>
      <c r="G106" s="77">
        <v>1.5009999999999999</v>
      </c>
      <c r="H106" s="77">
        <v>1.508</v>
      </c>
      <c r="I106" s="77">
        <v>1.45</v>
      </c>
      <c r="J106" s="3">
        <v>21916</v>
      </c>
      <c r="K106" s="10" t="s">
        <v>73</v>
      </c>
      <c r="L106" s="1" t="s">
        <v>150</v>
      </c>
      <c r="M106" s="3">
        <v>0.96</v>
      </c>
      <c r="N106" s="22">
        <v>1.0309999999999999</v>
      </c>
      <c r="O106" s="22">
        <f>+MAX(Tabla4[[#This Row],[6KWA]:[9KWA]])</f>
        <v>1.508</v>
      </c>
      <c r="P106" s="3">
        <f t="shared" si="8"/>
        <v>15</v>
      </c>
      <c r="Q106" s="3">
        <f t="shared" si="9"/>
        <v>4</v>
      </c>
      <c r="R106" s="3">
        <f t="shared" si="10"/>
        <v>16</v>
      </c>
      <c r="S106" s="3" t="str">
        <f t="shared" si="11"/>
        <v>abril</v>
      </c>
      <c r="T106" s="21">
        <f t="shared" si="12"/>
        <v>525.34999999999991</v>
      </c>
      <c r="U106" s="21">
        <f t="shared" si="13"/>
        <v>525.34999999999991</v>
      </c>
      <c r="V106" s="21">
        <f t="shared" si="14"/>
        <v>527.79999999999995</v>
      </c>
      <c r="W106" s="21">
        <f>+Tabla4[[#This Row],[9KWA]]*350</f>
        <v>507.5</v>
      </c>
      <c r="X106" s="21">
        <f>350*Tabla4[[#This Row],[Max Factor Medido]]</f>
        <v>527.79999999999995</v>
      </c>
      <c r="Y106" s="39">
        <v>0.92</v>
      </c>
      <c r="Z106" s="3">
        <f t="shared" si="15"/>
        <v>2025</v>
      </c>
      <c r="AA106" s="21">
        <f>+MEDIAN(Tabla4[[#This Row],[kwreal 6]:[kwreal 9]])</f>
        <v>525.34999999999991</v>
      </c>
      <c r="AB106" s="21">
        <f>+Tabla4[[#This Row],[LineaBase-FD]]/350</f>
        <v>1.5009999999999997</v>
      </c>
    </row>
    <row r="107" spans="1:28" x14ac:dyDescent="0.3">
      <c r="A107" s="28">
        <v>64545</v>
      </c>
      <c r="B107" s="3">
        <v>24467</v>
      </c>
      <c r="C107" s="3">
        <v>8046</v>
      </c>
      <c r="D107" s="3">
        <v>29200</v>
      </c>
      <c r="E107" s="3">
        <v>2830</v>
      </c>
      <c r="F107" s="77">
        <v>1.5009999999999999</v>
      </c>
      <c r="G107" s="77">
        <v>1.4910000000000001</v>
      </c>
      <c r="H107" s="77">
        <v>1.508</v>
      </c>
      <c r="I107" s="77">
        <v>1.45</v>
      </c>
      <c r="J107" s="3">
        <v>21923</v>
      </c>
      <c r="K107" s="10" t="s">
        <v>31</v>
      </c>
      <c r="L107" s="1" t="s">
        <v>151</v>
      </c>
      <c r="M107" s="3">
        <v>0.96</v>
      </c>
      <c r="N107" s="22">
        <v>0</v>
      </c>
      <c r="O107" s="22">
        <f>+MAX(Tabla4[[#This Row],[6KWA]:[9KWA]])</f>
        <v>1.508</v>
      </c>
      <c r="P107" s="3">
        <f t="shared" si="8"/>
        <v>16</v>
      </c>
      <c r="Q107" s="3">
        <f t="shared" si="9"/>
        <v>4</v>
      </c>
      <c r="R107" s="3">
        <f t="shared" si="10"/>
        <v>16</v>
      </c>
      <c r="S107" s="3" t="str">
        <f t="shared" si="11"/>
        <v>abril</v>
      </c>
      <c r="T107" s="21">
        <f t="shared" si="12"/>
        <v>525.34999999999991</v>
      </c>
      <c r="U107" s="21">
        <f t="shared" si="13"/>
        <v>521.85</v>
      </c>
      <c r="V107" s="21">
        <f t="shared" si="14"/>
        <v>527.79999999999995</v>
      </c>
      <c r="W107" s="21">
        <f>+Tabla4[[#This Row],[9KWA]]*350</f>
        <v>507.5</v>
      </c>
      <c r="X107" s="21">
        <f>350*Tabla4[[#This Row],[Max Factor Medido]]</f>
        <v>527.79999999999995</v>
      </c>
      <c r="Y107" s="39">
        <v>0.92</v>
      </c>
      <c r="Z107" s="3">
        <f t="shared" si="15"/>
        <v>2025</v>
      </c>
      <c r="AA107" s="21">
        <f>+MEDIAN(Tabla4[[#This Row],[kwreal 6]:[kwreal 9]])</f>
        <v>523.59999999999991</v>
      </c>
      <c r="AB107" s="21">
        <f>+Tabla4[[#This Row],[LineaBase-FD]]/350</f>
        <v>1.4959999999999998</v>
      </c>
    </row>
    <row r="108" spans="1:28" x14ac:dyDescent="0.3">
      <c r="A108" s="28">
        <v>64580</v>
      </c>
      <c r="B108" s="3">
        <v>24486</v>
      </c>
      <c r="C108" s="3">
        <v>8051</v>
      </c>
      <c r="D108" s="3">
        <v>29212</v>
      </c>
      <c r="E108" s="3">
        <v>2830</v>
      </c>
      <c r="F108" s="77">
        <v>1.5009999999999999</v>
      </c>
      <c r="G108" s="77">
        <v>1.4910000000000001</v>
      </c>
      <c r="H108" s="77">
        <v>1.508</v>
      </c>
      <c r="I108" s="77">
        <v>1.45</v>
      </c>
      <c r="J108" s="3">
        <v>21933</v>
      </c>
      <c r="K108" s="10" t="s">
        <v>152</v>
      </c>
      <c r="L108" s="1" t="s">
        <v>153</v>
      </c>
      <c r="M108" s="3">
        <v>0.94</v>
      </c>
      <c r="N108" s="22">
        <v>1.214</v>
      </c>
      <c r="O108" s="22">
        <f>+MAX(Tabla4[[#This Row],[6KWA]:[9KWA]])</f>
        <v>1.508</v>
      </c>
      <c r="P108" s="3">
        <f t="shared" si="8"/>
        <v>17</v>
      </c>
      <c r="Q108" s="3">
        <f t="shared" si="9"/>
        <v>4</v>
      </c>
      <c r="R108" s="3">
        <f t="shared" si="10"/>
        <v>16</v>
      </c>
      <c r="S108" s="3" t="str">
        <f t="shared" si="11"/>
        <v>abril</v>
      </c>
      <c r="T108" s="21">
        <f t="shared" si="12"/>
        <v>525.34999999999991</v>
      </c>
      <c r="U108" s="21">
        <f t="shared" si="13"/>
        <v>521.85</v>
      </c>
      <c r="V108" s="21">
        <f t="shared" si="14"/>
        <v>527.79999999999995</v>
      </c>
      <c r="W108" s="21">
        <f>+Tabla4[[#This Row],[9KWA]]*350</f>
        <v>507.5</v>
      </c>
      <c r="X108" s="21">
        <f>350*Tabla4[[#This Row],[Max Factor Medido]]</f>
        <v>527.79999999999995</v>
      </c>
      <c r="Y108" s="39">
        <v>0.92</v>
      </c>
      <c r="Z108" s="3">
        <f t="shared" si="15"/>
        <v>2025</v>
      </c>
      <c r="AA108" s="21">
        <f>+MEDIAN(Tabla4[[#This Row],[kwreal 6]:[kwreal 9]])</f>
        <v>523.59999999999991</v>
      </c>
      <c r="AB108" s="21">
        <f>+Tabla4[[#This Row],[LineaBase-FD]]/350</f>
        <v>1.4959999999999998</v>
      </c>
    </row>
    <row r="109" spans="1:28" x14ac:dyDescent="0.3">
      <c r="A109" s="29">
        <v>64603</v>
      </c>
      <c r="B109" s="2">
        <v>24492</v>
      </c>
      <c r="C109" s="2">
        <v>8056</v>
      </c>
      <c r="D109" s="3">
        <v>29223</v>
      </c>
      <c r="E109" s="2">
        <v>2830</v>
      </c>
      <c r="F109" s="77">
        <v>1.5009999999999999</v>
      </c>
      <c r="G109" s="77">
        <v>1.4910000000000001</v>
      </c>
      <c r="H109" s="77">
        <v>1.508</v>
      </c>
      <c r="I109" s="77">
        <v>1.45</v>
      </c>
      <c r="J109" s="2">
        <v>21939</v>
      </c>
      <c r="K109" s="9" t="s">
        <v>154</v>
      </c>
      <c r="L109" s="4" t="s">
        <v>155</v>
      </c>
      <c r="M109" s="3">
        <v>0.96</v>
      </c>
      <c r="N109" s="22">
        <v>1.06</v>
      </c>
      <c r="O109" s="22">
        <f>+MAX(Tabla4[[#This Row],[6KWA]:[9KWA]])</f>
        <v>1.508</v>
      </c>
      <c r="P109" s="3">
        <f t="shared" si="8"/>
        <v>18</v>
      </c>
      <c r="Q109" s="3">
        <f t="shared" si="9"/>
        <v>4</v>
      </c>
      <c r="R109" s="3">
        <f t="shared" si="10"/>
        <v>16</v>
      </c>
      <c r="S109" s="3" t="str">
        <f t="shared" si="11"/>
        <v>abril</v>
      </c>
      <c r="T109" s="21">
        <f t="shared" si="12"/>
        <v>525.34999999999991</v>
      </c>
      <c r="U109" s="21">
        <f t="shared" si="13"/>
        <v>521.85</v>
      </c>
      <c r="V109" s="21">
        <f t="shared" si="14"/>
        <v>527.79999999999995</v>
      </c>
      <c r="W109" s="21">
        <f>+Tabla4[[#This Row],[9KWA]]*350</f>
        <v>507.5</v>
      </c>
      <c r="X109" s="21">
        <f>350*Tabla4[[#This Row],[Max Factor Medido]]</f>
        <v>527.79999999999995</v>
      </c>
      <c r="Y109" s="39">
        <v>0.92</v>
      </c>
      <c r="Z109" s="3">
        <f t="shared" si="15"/>
        <v>2025</v>
      </c>
      <c r="AA109" s="21">
        <f>+MEDIAN(Tabla4[[#This Row],[kwreal 6]:[kwreal 9]])</f>
        <v>523.59999999999991</v>
      </c>
      <c r="AB109" s="21">
        <f>+Tabla4[[#This Row],[LineaBase-FD]]/350</f>
        <v>1.4959999999999998</v>
      </c>
    </row>
    <row r="110" spans="1:28" x14ac:dyDescent="0.3">
      <c r="A110" s="29">
        <v>64631</v>
      </c>
      <c r="B110" s="2">
        <v>24504</v>
      </c>
      <c r="C110" s="2">
        <v>8061</v>
      </c>
      <c r="D110" s="3">
        <v>29235</v>
      </c>
      <c r="E110" s="2">
        <v>2830</v>
      </c>
      <c r="F110" s="77">
        <v>1.5009999999999999</v>
      </c>
      <c r="G110" s="77">
        <v>1.4910000000000001</v>
      </c>
      <c r="H110" s="77">
        <v>1.508</v>
      </c>
      <c r="I110" s="77">
        <v>1.45</v>
      </c>
      <c r="J110" s="2">
        <v>21947</v>
      </c>
      <c r="K110" s="9" t="s">
        <v>156</v>
      </c>
      <c r="L110" s="4" t="s">
        <v>157</v>
      </c>
      <c r="M110" s="3">
        <v>0.94</v>
      </c>
      <c r="N110" s="22">
        <v>1.2150000000000001</v>
      </c>
      <c r="O110" s="22">
        <f>+MAX(Tabla4[[#This Row],[6KWA]:[9KWA]])</f>
        <v>1.508</v>
      </c>
      <c r="P110" s="3">
        <f t="shared" si="8"/>
        <v>19</v>
      </c>
      <c r="Q110" s="3">
        <f t="shared" si="9"/>
        <v>4</v>
      </c>
      <c r="R110" s="3">
        <f t="shared" si="10"/>
        <v>16</v>
      </c>
      <c r="S110" s="3" t="str">
        <f t="shared" si="11"/>
        <v>abril</v>
      </c>
      <c r="T110" s="21">
        <f t="shared" si="12"/>
        <v>525.34999999999991</v>
      </c>
      <c r="U110" s="21">
        <f t="shared" si="13"/>
        <v>521.85</v>
      </c>
      <c r="V110" s="21">
        <f t="shared" si="14"/>
        <v>527.79999999999995</v>
      </c>
      <c r="W110" s="21">
        <f>+Tabla4[[#This Row],[9KWA]]*350</f>
        <v>507.5</v>
      </c>
      <c r="X110" s="21">
        <f>350*Tabla4[[#This Row],[Max Factor Medido]]</f>
        <v>527.79999999999995</v>
      </c>
      <c r="Y110" s="39">
        <v>0.92</v>
      </c>
      <c r="Z110" s="3">
        <f t="shared" si="15"/>
        <v>2025</v>
      </c>
      <c r="AA110" s="21">
        <f>+MEDIAN(Tabla4[[#This Row],[kwreal 6]:[kwreal 9]])</f>
        <v>523.59999999999991</v>
      </c>
      <c r="AB110" s="21">
        <f>+Tabla4[[#This Row],[LineaBase-FD]]/350</f>
        <v>1.4959999999999998</v>
      </c>
    </row>
    <row r="111" spans="1:28" x14ac:dyDescent="0.3">
      <c r="A111" s="28">
        <v>64663</v>
      </c>
      <c r="B111" s="3">
        <v>24504</v>
      </c>
      <c r="C111" s="3">
        <v>8061</v>
      </c>
      <c r="D111" s="3">
        <v>29262</v>
      </c>
      <c r="E111" s="3">
        <v>2835</v>
      </c>
      <c r="F111" s="77">
        <v>1.5009999999999999</v>
      </c>
      <c r="G111" s="77">
        <v>1.4910000000000001</v>
      </c>
      <c r="H111" s="77">
        <v>1.508</v>
      </c>
      <c r="I111" s="77">
        <v>1.45</v>
      </c>
      <c r="J111" s="3">
        <v>21957</v>
      </c>
      <c r="K111" s="10" t="s">
        <v>158</v>
      </c>
      <c r="L111" s="1" t="s">
        <v>159</v>
      </c>
      <c r="M111" s="3">
        <v>0.95</v>
      </c>
      <c r="N111" s="22">
        <v>1.18</v>
      </c>
      <c r="O111" s="22">
        <f>+MAX(Tabla4[[#This Row],[6KWA]:[9KWA]])</f>
        <v>1.508</v>
      </c>
      <c r="P111" s="3">
        <f t="shared" si="8"/>
        <v>20</v>
      </c>
      <c r="Q111" s="3">
        <f t="shared" si="9"/>
        <v>4</v>
      </c>
      <c r="R111" s="3">
        <f t="shared" si="10"/>
        <v>17</v>
      </c>
      <c r="S111" s="3" t="str">
        <f t="shared" si="11"/>
        <v>abril</v>
      </c>
      <c r="T111" s="21">
        <f t="shared" si="12"/>
        <v>525.34999999999991</v>
      </c>
      <c r="U111" s="21">
        <f t="shared" si="13"/>
        <v>521.85</v>
      </c>
      <c r="V111" s="21">
        <f t="shared" si="14"/>
        <v>527.79999999999995</v>
      </c>
      <c r="W111" s="21">
        <f>+Tabla4[[#This Row],[9KWA]]*350</f>
        <v>507.5</v>
      </c>
      <c r="X111" s="21">
        <f>350*Tabla4[[#This Row],[Max Factor Medido]]</f>
        <v>527.79999999999995</v>
      </c>
      <c r="Y111" s="39">
        <v>0.92</v>
      </c>
      <c r="Z111" s="3">
        <f t="shared" si="15"/>
        <v>2025</v>
      </c>
      <c r="AA111" s="21">
        <f>+MEDIAN(Tabla4[[#This Row],[kwreal 6]:[kwreal 9]])</f>
        <v>523.59999999999991</v>
      </c>
      <c r="AB111" s="21">
        <f>+Tabla4[[#This Row],[LineaBase-FD]]/350</f>
        <v>1.4959999999999998</v>
      </c>
    </row>
    <row r="112" spans="1:28" x14ac:dyDescent="0.3">
      <c r="A112" s="28">
        <v>64688</v>
      </c>
      <c r="B112" s="3">
        <v>24504</v>
      </c>
      <c r="C112" s="3">
        <v>8061</v>
      </c>
      <c r="D112" s="3">
        <v>29283</v>
      </c>
      <c r="E112" s="3">
        <v>2839</v>
      </c>
      <c r="F112" s="77">
        <v>1.5009999999999999</v>
      </c>
      <c r="G112" s="77">
        <v>1.4910000000000001</v>
      </c>
      <c r="H112" s="77">
        <v>1.508</v>
      </c>
      <c r="I112" s="77">
        <v>1.45</v>
      </c>
      <c r="J112" s="3">
        <v>21964</v>
      </c>
      <c r="K112" s="10" t="s">
        <v>160</v>
      </c>
      <c r="L112" s="1" t="s">
        <v>161</v>
      </c>
      <c r="M112" s="3">
        <v>0.97</v>
      </c>
      <c r="N112" s="22">
        <v>1.03</v>
      </c>
      <c r="O112" s="22">
        <f>+MAX(Tabla4[[#This Row],[6KWA]:[9KWA]])</f>
        <v>1.508</v>
      </c>
      <c r="P112" s="3">
        <f t="shared" si="8"/>
        <v>21</v>
      </c>
      <c r="Q112" s="3">
        <f t="shared" si="9"/>
        <v>4</v>
      </c>
      <c r="R112" s="3">
        <f t="shared" si="10"/>
        <v>17</v>
      </c>
      <c r="S112" s="3" t="str">
        <f t="shared" si="11"/>
        <v>abril</v>
      </c>
      <c r="T112" s="21">
        <f t="shared" si="12"/>
        <v>525.34999999999991</v>
      </c>
      <c r="U112" s="21">
        <f t="shared" si="13"/>
        <v>521.85</v>
      </c>
      <c r="V112" s="21">
        <f t="shared" si="14"/>
        <v>527.79999999999995</v>
      </c>
      <c r="W112" s="21">
        <f>+Tabla4[[#This Row],[9KWA]]*350</f>
        <v>507.5</v>
      </c>
      <c r="X112" s="21">
        <f>350*Tabla4[[#This Row],[Max Factor Medido]]</f>
        <v>527.79999999999995</v>
      </c>
      <c r="Y112" s="39">
        <v>0.92</v>
      </c>
      <c r="Z112" s="3">
        <f t="shared" si="15"/>
        <v>2025</v>
      </c>
      <c r="AA112" s="21">
        <f>+MEDIAN(Tabla4[[#This Row],[kwreal 6]:[kwreal 9]])</f>
        <v>523.59999999999991</v>
      </c>
      <c r="AB112" s="21">
        <f>+Tabla4[[#This Row],[LineaBase-FD]]/350</f>
        <v>1.4959999999999998</v>
      </c>
    </row>
    <row r="113" spans="1:28" x14ac:dyDescent="0.3">
      <c r="A113" s="28">
        <v>64724</v>
      </c>
      <c r="B113" s="3">
        <v>24522</v>
      </c>
      <c r="C113" s="3">
        <v>8066</v>
      </c>
      <c r="D113" s="3">
        <v>29293</v>
      </c>
      <c r="E113" s="3">
        <v>2839</v>
      </c>
      <c r="F113" s="77">
        <v>1.5009999999999999</v>
      </c>
      <c r="G113" s="77">
        <v>1.4910000000000001</v>
      </c>
      <c r="H113" s="77">
        <v>1.508</v>
      </c>
      <c r="I113" s="77">
        <v>1.45</v>
      </c>
      <c r="J113" s="3">
        <v>21974</v>
      </c>
      <c r="K113" s="10" t="s">
        <v>162</v>
      </c>
      <c r="L113" s="1" t="s">
        <v>163</v>
      </c>
      <c r="M113" s="3">
        <v>0.99</v>
      </c>
      <c r="N113" s="22">
        <v>1.294</v>
      </c>
      <c r="O113" s="22">
        <f>+MAX(Tabla4[[#This Row],[6KWA]:[9KWA]])</f>
        <v>1.508</v>
      </c>
      <c r="P113" s="3">
        <f t="shared" si="8"/>
        <v>22</v>
      </c>
      <c r="Q113" s="3">
        <f t="shared" si="9"/>
        <v>4</v>
      </c>
      <c r="R113" s="3">
        <f t="shared" si="10"/>
        <v>17</v>
      </c>
      <c r="S113" s="3" t="str">
        <f t="shared" si="11"/>
        <v>abril</v>
      </c>
      <c r="T113" s="21">
        <f t="shared" si="12"/>
        <v>525.34999999999991</v>
      </c>
      <c r="U113" s="21">
        <f t="shared" si="13"/>
        <v>521.85</v>
      </c>
      <c r="V113" s="21">
        <f t="shared" si="14"/>
        <v>527.79999999999995</v>
      </c>
      <c r="W113" s="21">
        <f>+Tabla4[[#This Row],[9KWA]]*350</f>
        <v>507.5</v>
      </c>
      <c r="X113" s="21">
        <f>350*Tabla4[[#This Row],[Max Factor Medido]]</f>
        <v>527.79999999999995</v>
      </c>
      <c r="Y113" s="39">
        <v>0.92</v>
      </c>
      <c r="Z113" s="3">
        <f t="shared" si="15"/>
        <v>2025</v>
      </c>
      <c r="AA113" s="21">
        <f>+MEDIAN(Tabla4[[#This Row],[kwreal 6]:[kwreal 9]])</f>
        <v>523.59999999999991</v>
      </c>
      <c r="AB113" s="21">
        <f>+Tabla4[[#This Row],[LineaBase-FD]]/350</f>
        <v>1.4959999999999998</v>
      </c>
    </row>
    <row r="114" spans="1:28" x14ac:dyDescent="0.3">
      <c r="A114" s="28">
        <v>64746</v>
      </c>
      <c r="B114" s="3">
        <v>24529</v>
      </c>
      <c r="C114" s="3">
        <v>8071</v>
      </c>
      <c r="D114" s="3">
        <v>29306</v>
      </c>
      <c r="E114" s="3">
        <v>2839</v>
      </c>
      <c r="F114" s="77">
        <v>1.5009999999999999</v>
      </c>
      <c r="G114" s="77">
        <v>1.4910000000000001</v>
      </c>
      <c r="H114" s="77">
        <v>1.508</v>
      </c>
      <c r="I114" s="77">
        <v>1.45</v>
      </c>
      <c r="J114" s="3">
        <v>21980</v>
      </c>
      <c r="K114" s="10" t="s">
        <v>164</v>
      </c>
      <c r="L114" s="1" t="s">
        <v>165</v>
      </c>
      <c r="M114" s="3">
        <v>0.96</v>
      </c>
      <c r="N114" s="22">
        <v>1.1819999999999999</v>
      </c>
      <c r="O114" s="22">
        <f>+MAX(Tabla4[[#This Row],[6KWA]:[9KWA]])</f>
        <v>1.508</v>
      </c>
      <c r="P114" s="3">
        <f t="shared" si="8"/>
        <v>23</v>
      </c>
      <c r="Q114" s="3">
        <f t="shared" si="9"/>
        <v>4</v>
      </c>
      <c r="R114" s="3">
        <f t="shared" si="10"/>
        <v>17</v>
      </c>
      <c r="S114" s="3" t="str">
        <f t="shared" si="11"/>
        <v>abril</v>
      </c>
      <c r="T114" s="21">
        <f t="shared" si="12"/>
        <v>525.34999999999991</v>
      </c>
      <c r="U114" s="21">
        <f t="shared" si="13"/>
        <v>521.85</v>
      </c>
      <c r="V114" s="21">
        <f t="shared" si="14"/>
        <v>527.79999999999995</v>
      </c>
      <c r="W114" s="21">
        <f>+Tabla4[[#This Row],[9KWA]]*350</f>
        <v>507.5</v>
      </c>
      <c r="X114" s="21">
        <f>350*Tabla4[[#This Row],[Max Factor Medido]]</f>
        <v>527.79999999999995</v>
      </c>
      <c r="Y114" s="39">
        <v>0.92</v>
      </c>
      <c r="Z114" s="3">
        <f t="shared" si="15"/>
        <v>2025</v>
      </c>
      <c r="AA114" s="21">
        <f>+MEDIAN(Tabla4[[#This Row],[kwreal 6]:[kwreal 9]])</f>
        <v>523.59999999999991</v>
      </c>
      <c r="AB114" s="21">
        <f>+Tabla4[[#This Row],[LineaBase-FD]]/350</f>
        <v>1.4959999999999998</v>
      </c>
    </row>
    <row r="115" spans="1:28" x14ac:dyDescent="0.3">
      <c r="A115" s="28">
        <v>64776</v>
      </c>
      <c r="B115" s="3">
        <v>24541</v>
      </c>
      <c r="C115" s="3">
        <v>8076</v>
      </c>
      <c r="D115" s="3">
        <v>29317</v>
      </c>
      <c r="E115" s="3">
        <v>2839</v>
      </c>
      <c r="F115" s="77">
        <v>1.5009999999999999</v>
      </c>
      <c r="G115" s="77">
        <v>1.4910000000000001</v>
      </c>
      <c r="H115" s="77">
        <v>1.508</v>
      </c>
      <c r="I115" s="77">
        <v>1.54</v>
      </c>
      <c r="J115" s="3">
        <v>21988</v>
      </c>
      <c r="K115" s="10" t="s">
        <v>166</v>
      </c>
      <c r="L115" s="1" t="s">
        <v>167</v>
      </c>
      <c r="M115" s="3">
        <v>0.96</v>
      </c>
      <c r="N115" s="22">
        <v>1.135</v>
      </c>
      <c r="O115" s="22">
        <f>+MAX(Tabla4[[#This Row],[6KWA]:[9KWA]])</f>
        <v>1.54</v>
      </c>
      <c r="P115" s="3">
        <f t="shared" si="8"/>
        <v>24</v>
      </c>
      <c r="Q115" s="3">
        <f t="shared" si="9"/>
        <v>4</v>
      </c>
      <c r="R115" s="3">
        <f t="shared" si="10"/>
        <v>17</v>
      </c>
      <c r="S115" s="3" t="str">
        <f t="shared" si="11"/>
        <v>abril</v>
      </c>
      <c r="T115" s="21">
        <f t="shared" si="12"/>
        <v>525.34999999999991</v>
      </c>
      <c r="U115" s="21">
        <f t="shared" si="13"/>
        <v>521.85</v>
      </c>
      <c r="V115" s="21">
        <f t="shared" si="14"/>
        <v>527.79999999999995</v>
      </c>
      <c r="W115" s="21">
        <f>+Tabla4[[#This Row],[9KWA]]*350</f>
        <v>539</v>
      </c>
      <c r="X115" s="21">
        <f>350*Tabla4[[#This Row],[Max Factor Medido]]</f>
        <v>539</v>
      </c>
      <c r="Y115" s="39">
        <v>0.92</v>
      </c>
      <c r="Z115" s="3">
        <f t="shared" si="15"/>
        <v>2025</v>
      </c>
      <c r="AA115" s="21">
        <f>+MEDIAN(Tabla4[[#This Row],[kwreal 6]:[kwreal 9]])</f>
        <v>526.57499999999993</v>
      </c>
      <c r="AB115" s="21">
        <f>+Tabla4[[#This Row],[LineaBase-FD]]/350</f>
        <v>1.5044999999999997</v>
      </c>
    </row>
    <row r="116" spans="1:28" x14ac:dyDescent="0.3">
      <c r="A116" s="28">
        <v>64805</v>
      </c>
      <c r="B116" s="3">
        <v>24554</v>
      </c>
      <c r="C116" s="3">
        <v>8081</v>
      </c>
      <c r="D116" s="3">
        <v>29329</v>
      </c>
      <c r="E116" s="3">
        <v>2839</v>
      </c>
      <c r="F116" s="77">
        <v>1.5009999999999999</v>
      </c>
      <c r="G116" s="77">
        <v>1.4910000000000001</v>
      </c>
      <c r="H116" s="77">
        <v>1.508</v>
      </c>
      <c r="I116" s="77">
        <v>1.45</v>
      </c>
      <c r="J116" s="3">
        <v>21996</v>
      </c>
      <c r="K116" s="10" t="s">
        <v>137</v>
      </c>
      <c r="L116" s="1" t="s">
        <v>168</v>
      </c>
      <c r="M116" s="3">
        <v>0.97</v>
      </c>
      <c r="N116" s="22">
        <v>9.5</v>
      </c>
      <c r="O116" s="22">
        <f>+MAX(Tabla4[[#This Row],[6KWA]:[9KWA]])</f>
        <v>1.508</v>
      </c>
      <c r="P116" s="3">
        <f t="shared" si="8"/>
        <v>25</v>
      </c>
      <c r="Q116" s="3">
        <f t="shared" si="9"/>
        <v>4</v>
      </c>
      <c r="R116" s="3">
        <f t="shared" si="10"/>
        <v>17</v>
      </c>
      <c r="S116" s="3" t="str">
        <f t="shared" si="11"/>
        <v>abril</v>
      </c>
      <c r="T116" s="21">
        <f t="shared" si="12"/>
        <v>525.34999999999991</v>
      </c>
      <c r="U116" s="21">
        <f t="shared" si="13"/>
        <v>521.85</v>
      </c>
      <c r="V116" s="21">
        <f t="shared" si="14"/>
        <v>527.79999999999995</v>
      </c>
      <c r="W116" s="21">
        <f>+Tabla4[[#This Row],[9KWA]]*350</f>
        <v>507.5</v>
      </c>
      <c r="X116" s="21">
        <f>350*Tabla4[[#This Row],[Max Factor Medido]]</f>
        <v>527.79999999999995</v>
      </c>
      <c r="Y116" s="39">
        <v>0.92</v>
      </c>
      <c r="Z116" s="3">
        <f t="shared" si="15"/>
        <v>2025</v>
      </c>
      <c r="AA116" s="21">
        <f>+MEDIAN(Tabla4[[#This Row],[kwreal 6]:[kwreal 9]])</f>
        <v>523.59999999999991</v>
      </c>
      <c r="AB116" s="21">
        <f>+Tabla4[[#This Row],[LineaBase-FD]]/350</f>
        <v>1.4959999999999998</v>
      </c>
    </row>
    <row r="117" spans="1:28" x14ac:dyDescent="0.3">
      <c r="A117" s="28">
        <v>64835</v>
      </c>
      <c r="B117" s="3">
        <v>24567</v>
      </c>
      <c r="C117" s="3">
        <v>8086</v>
      </c>
      <c r="D117" s="3">
        <v>29341</v>
      </c>
      <c r="E117" s="3">
        <v>2839</v>
      </c>
      <c r="F117" s="77">
        <v>1.5009999999999999</v>
      </c>
      <c r="G117" s="77">
        <v>1.4910000000000001</v>
      </c>
      <c r="H117" s="77">
        <v>1.508</v>
      </c>
      <c r="I117" s="77">
        <v>1.54</v>
      </c>
      <c r="J117" s="3">
        <v>22005</v>
      </c>
      <c r="K117" s="10" t="s">
        <v>35</v>
      </c>
      <c r="L117" s="1" t="s">
        <v>169</v>
      </c>
      <c r="M117" s="3">
        <v>0.95</v>
      </c>
      <c r="N117" s="22">
        <v>1.3009999999999999</v>
      </c>
      <c r="O117" s="22">
        <f>+MAX(Tabla4[[#This Row],[6KWA]:[9KWA]])</f>
        <v>1.54</v>
      </c>
      <c r="P117" s="3">
        <f t="shared" si="8"/>
        <v>26</v>
      </c>
      <c r="Q117" s="3">
        <f t="shared" si="9"/>
        <v>4</v>
      </c>
      <c r="R117" s="3">
        <f t="shared" si="10"/>
        <v>17</v>
      </c>
      <c r="S117" s="3" t="str">
        <f t="shared" si="11"/>
        <v>abril</v>
      </c>
      <c r="T117" s="21">
        <f t="shared" si="12"/>
        <v>525.34999999999991</v>
      </c>
      <c r="U117" s="21">
        <f t="shared" si="13"/>
        <v>521.85</v>
      </c>
      <c r="V117" s="21">
        <f t="shared" si="14"/>
        <v>527.79999999999995</v>
      </c>
      <c r="W117" s="21">
        <f>+Tabla4[[#This Row],[9KWA]]*350</f>
        <v>539</v>
      </c>
      <c r="X117" s="21">
        <f>350*Tabla4[[#This Row],[Max Factor Medido]]</f>
        <v>539</v>
      </c>
      <c r="Y117" s="39">
        <v>0.92</v>
      </c>
      <c r="Z117" s="3">
        <f t="shared" si="15"/>
        <v>2025</v>
      </c>
      <c r="AA117" s="21">
        <f>+MEDIAN(Tabla4[[#This Row],[kwreal 6]:[kwreal 9]])</f>
        <v>526.57499999999993</v>
      </c>
      <c r="AB117" s="21">
        <f>+Tabla4[[#This Row],[LineaBase-FD]]/350</f>
        <v>1.5044999999999997</v>
      </c>
    </row>
    <row r="118" spans="1:28" x14ac:dyDescent="0.3">
      <c r="A118" s="28">
        <v>64865</v>
      </c>
      <c r="B118" s="3">
        <v>24567</v>
      </c>
      <c r="C118" s="3">
        <v>8086</v>
      </c>
      <c r="D118" s="3">
        <v>29365</v>
      </c>
      <c r="E118" s="3">
        <v>2845</v>
      </c>
      <c r="F118" s="77">
        <v>1.5009999999999999</v>
      </c>
      <c r="G118" s="77">
        <v>1.4910000000000001</v>
      </c>
      <c r="H118" s="77">
        <v>1.512</v>
      </c>
      <c r="I118" s="77">
        <v>1.45</v>
      </c>
      <c r="J118" s="3">
        <v>22014</v>
      </c>
      <c r="K118" s="10" t="s">
        <v>109</v>
      </c>
      <c r="L118" s="1" t="s">
        <v>170</v>
      </c>
      <c r="M118" s="3">
        <v>0.95</v>
      </c>
      <c r="N118" s="22">
        <v>0</v>
      </c>
      <c r="O118" s="22">
        <f>+MAX(Tabla4[[#This Row],[6KWA]:[9KWA]])</f>
        <v>1.512</v>
      </c>
      <c r="P118" s="3">
        <f t="shared" si="8"/>
        <v>27</v>
      </c>
      <c r="Q118" s="3">
        <f t="shared" si="9"/>
        <v>4</v>
      </c>
      <c r="R118" s="3">
        <f t="shared" si="10"/>
        <v>18</v>
      </c>
      <c r="S118" s="3" t="str">
        <f t="shared" si="11"/>
        <v>abril</v>
      </c>
      <c r="T118" s="21">
        <f t="shared" si="12"/>
        <v>525.34999999999991</v>
      </c>
      <c r="U118" s="21">
        <f t="shared" si="13"/>
        <v>521.85</v>
      </c>
      <c r="V118" s="21">
        <f t="shared" si="14"/>
        <v>529.20000000000005</v>
      </c>
      <c r="W118" s="21">
        <f>+Tabla4[[#This Row],[9KWA]]*350</f>
        <v>507.5</v>
      </c>
      <c r="X118" s="21">
        <f>350*Tabla4[[#This Row],[Max Factor Medido]]</f>
        <v>529.20000000000005</v>
      </c>
      <c r="Y118" s="39">
        <v>0.92</v>
      </c>
      <c r="Z118" s="3">
        <f t="shared" si="15"/>
        <v>2025</v>
      </c>
      <c r="AA118" s="21">
        <f>+MEDIAN(Tabla4[[#This Row],[kwreal 6]:[kwreal 9]])</f>
        <v>523.59999999999991</v>
      </c>
      <c r="AB118" s="21">
        <f>+Tabla4[[#This Row],[LineaBase-FD]]/350</f>
        <v>1.4959999999999998</v>
      </c>
    </row>
    <row r="119" spans="1:28" x14ac:dyDescent="0.3">
      <c r="A119" s="28">
        <v>64889</v>
      </c>
      <c r="B119" s="3">
        <v>24567</v>
      </c>
      <c r="C119" s="3">
        <v>8086</v>
      </c>
      <c r="D119" s="3">
        <v>29384</v>
      </c>
      <c r="E119" s="3">
        <v>2850</v>
      </c>
      <c r="F119" s="77">
        <v>1.5009999999999999</v>
      </c>
      <c r="G119" s="77">
        <v>1.4910000000000001</v>
      </c>
      <c r="H119" s="77">
        <v>1.512</v>
      </c>
      <c r="I119" s="77">
        <v>1.4570000000000001</v>
      </c>
      <c r="J119" s="3">
        <v>22026</v>
      </c>
      <c r="K119" s="10" t="s">
        <v>171</v>
      </c>
      <c r="L119" s="1" t="s">
        <v>172</v>
      </c>
      <c r="M119" s="3">
        <v>0.87</v>
      </c>
      <c r="N119" s="22">
        <v>1.26</v>
      </c>
      <c r="O119" s="22">
        <f>+MAX(Tabla4[[#This Row],[6KWA]:[9KWA]])</f>
        <v>1.512</v>
      </c>
      <c r="P119" s="3">
        <f t="shared" si="8"/>
        <v>28</v>
      </c>
      <c r="Q119" s="3">
        <f t="shared" si="9"/>
        <v>4</v>
      </c>
      <c r="R119" s="3">
        <f t="shared" si="10"/>
        <v>18</v>
      </c>
      <c r="S119" s="3" t="str">
        <f t="shared" si="11"/>
        <v>abril</v>
      </c>
      <c r="T119" s="21">
        <f t="shared" si="12"/>
        <v>525.34999999999991</v>
      </c>
      <c r="U119" s="21">
        <f t="shared" si="13"/>
        <v>521.85</v>
      </c>
      <c r="V119" s="21">
        <f t="shared" si="14"/>
        <v>529.20000000000005</v>
      </c>
      <c r="W119" s="21">
        <f>+Tabla4[[#This Row],[9KWA]]*350</f>
        <v>509.95000000000005</v>
      </c>
      <c r="X119" s="21">
        <f>350*Tabla4[[#This Row],[Max Factor Medido]]</f>
        <v>529.20000000000005</v>
      </c>
      <c r="Y119" s="39">
        <v>0.92</v>
      </c>
      <c r="Z119" s="3">
        <f t="shared" si="15"/>
        <v>2025</v>
      </c>
      <c r="AA119" s="21">
        <f>+MEDIAN(Tabla4[[#This Row],[kwreal 6]:[kwreal 9]])</f>
        <v>523.59999999999991</v>
      </c>
      <c r="AB119" s="21">
        <f>+Tabla4[[#This Row],[LineaBase-FD]]/350</f>
        <v>1.4959999999999998</v>
      </c>
    </row>
    <row r="120" spans="1:28" x14ac:dyDescent="0.3">
      <c r="A120" s="28">
        <v>69922</v>
      </c>
      <c r="B120" s="3">
        <v>24583</v>
      </c>
      <c r="C120" s="3">
        <v>8091</v>
      </c>
      <c r="D120" s="3">
        <v>29397</v>
      </c>
      <c r="E120" s="3">
        <v>2850</v>
      </c>
      <c r="F120" s="77">
        <v>1.5009999999999999</v>
      </c>
      <c r="G120" s="77">
        <v>1.4910000000000001</v>
      </c>
      <c r="H120" s="77">
        <v>1.512</v>
      </c>
      <c r="I120" s="77">
        <v>1.4570000000000001</v>
      </c>
      <c r="J120" s="3">
        <v>22038</v>
      </c>
      <c r="K120" s="10" t="s">
        <v>173</v>
      </c>
      <c r="L120" s="1" t="s">
        <v>174</v>
      </c>
      <c r="M120" s="3">
        <v>0.94</v>
      </c>
      <c r="N120" s="22">
        <v>1.256</v>
      </c>
      <c r="O120" s="22">
        <f>+MAX(Tabla4[[#This Row],[6KWA]:[9KWA]])</f>
        <v>1.512</v>
      </c>
      <c r="P120" s="3">
        <f t="shared" si="8"/>
        <v>29</v>
      </c>
      <c r="Q120" s="3">
        <f t="shared" si="9"/>
        <v>4</v>
      </c>
      <c r="R120" s="3">
        <f t="shared" si="10"/>
        <v>18</v>
      </c>
      <c r="S120" s="3" t="str">
        <f t="shared" si="11"/>
        <v>abril</v>
      </c>
      <c r="T120" s="21">
        <f t="shared" si="12"/>
        <v>525.34999999999991</v>
      </c>
      <c r="U120" s="21">
        <f t="shared" si="13"/>
        <v>521.85</v>
      </c>
      <c r="V120" s="21">
        <f t="shared" si="14"/>
        <v>529.20000000000005</v>
      </c>
      <c r="W120" s="21">
        <f>+Tabla4[[#This Row],[9KWA]]*350</f>
        <v>509.95000000000005</v>
      </c>
      <c r="X120" s="21">
        <f>350*Tabla4[[#This Row],[Max Factor Medido]]</f>
        <v>529.20000000000005</v>
      </c>
      <c r="Y120" s="39">
        <v>0.92</v>
      </c>
      <c r="Z120" s="3">
        <f t="shared" si="15"/>
        <v>2025</v>
      </c>
      <c r="AA120" s="21">
        <f>+MEDIAN(Tabla4[[#This Row],[kwreal 6]:[kwreal 9]])</f>
        <v>523.59999999999991</v>
      </c>
      <c r="AB120" s="21">
        <f>+Tabla4[[#This Row],[LineaBase-FD]]/350</f>
        <v>1.4959999999999998</v>
      </c>
    </row>
    <row r="121" spans="1:28" x14ac:dyDescent="0.3">
      <c r="A121" s="28">
        <v>64949</v>
      </c>
      <c r="B121" s="3">
        <v>24593</v>
      </c>
      <c r="C121" s="3">
        <v>8096</v>
      </c>
      <c r="D121" s="3">
        <v>29409</v>
      </c>
      <c r="E121" s="3">
        <v>2850</v>
      </c>
      <c r="F121" s="77">
        <v>1.508</v>
      </c>
      <c r="G121" s="77">
        <v>1.4910000000000001</v>
      </c>
      <c r="H121" s="77">
        <v>1.512</v>
      </c>
      <c r="I121" s="77">
        <v>1.4570000000000001</v>
      </c>
      <c r="J121" s="3">
        <v>22045</v>
      </c>
      <c r="K121" s="10" t="s">
        <v>92</v>
      </c>
      <c r="L121" s="1" t="s">
        <v>175</v>
      </c>
      <c r="M121" s="3">
        <v>0.97</v>
      </c>
      <c r="N121" s="22">
        <v>11.08</v>
      </c>
      <c r="O121" s="22">
        <f>+MAX(Tabla4[[#This Row],[6KWA]:[9KWA]])</f>
        <v>1.512</v>
      </c>
      <c r="P121" s="3">
        <f t="shared" si="8"/>
        <v>30</v>
      </c>
      <c r="Q121" s="3">
        <f t="shared" si="9"/>
        <v>4</v>
      </c>
      <c r="R121" s="3">
        <f t="shared" si="10"/>
        <v>18</v>
      </c>
      <c r="S121" s="3" t="str">
        <f t="shared" si="11"/>
        <v>abril</v>
      </c>
      <c r="T121" s="21">
        <f t="shared" si="12"/>
        <v>527.79999999999995</v>
      </c>
      <c r="U121" s="21">
        <f t="shared" si="13"/>
        <v>521.85</v>
      </c>
      <c r="V121" s="21">
        <f t="shared" si="14"/>
        <v>529.20000000000005</v>
      </c>
      <c r="W121" s="21">
        <f>+Tabla4[[#This Row],[9KWA]]*350</f>
        <v>509.95000000000005</v>
      </c>
      <c r="X121" s="21">
        <f>350*Tabla4[[#This Row],[Max Factor Medido]]</f>
        <v>529.20000000000005</v>
      </c>
      <c r="Y121" s="39">
        <v>0.92</v>
      </c>
      <c r="Z121" s="3">
        <f t="shared" si="15"/>
        <v>2025</v>
      </c>
      <c r="AA121" s="21">
        <f>+MEDIAN(Tabla4[[#This Row],[kwreal 6]:[kwreal 9]])</f>
        <v>524.82500000000005</v>
      </c>
      <c r="AB121" s="21">
        <f>+Tabla4[[#This Row],[LineaBase-FD]]/350</f>
        <v>1.4995000000000001</v>
      </c>
    </row>
    <row r="122" spans="1:28" x14ac:dyDescent="0.3">
      <c r="A122" s="28">
        <v>64980</v>
      </c>
      <c r="B122" s="3">
        <v>24006</v>
      </c>
      <c r="C122" s="3">
        <v>8101</v>
      </c>
      <c r="D122" s="3">
        <v>29421</v>
      </c>
      <c r="E122" s="3">
        <v>2850</v>
      </c>
      <c r="F122" s="77">
        <v>0</v>
      </c>
      <c r="G122" s="77">
        <v>0</v>
      </c>
      <c r="H122" s="77">
        <v>1.2749999999999999</v>
      </c>
      <c r="I122" s="77">
        <v>0</v>
      </c>
      <c r="J122" s="3">
        <v>22054</v>
      </c>
      <c r="K122" s="10" t="s">
        <v>176</v>
      </c>
      <c r="L122" s="5">
        <v>45669</v>
      </c>
      <c r="M122" s="3">
        <v>0.96</v>
      </c>
      <c r="N122" s="67">
        <v>1.165</v>
      </c>
      <c r="O122" s="22">
        <f>+MAX(Tabla4[[#This Row],[6KWA]:[9KWA]])</f>
        <v>1.2749999999999999</v>
      </c>
      <c r="P122" s="3">
        <f t="shared" si="8"/>
        <v>12</v>
      </c>
      <c r="Q122" s="3">
        <f t="shared" si="9"/>
        <v>1</v>
      </c>
      <c r="R122" s="3">
        <f t="shared" si="10"/>
        <v>3</v>
      </c>
      <c r="S122" s="3" t="str">
        <f t="shared" si="11"/>
        <v>enero</v>
      </c>
      <c r="T122" s="21">
        <f t="shared" si="12"/>
        <v>0</v>
      </c>
      <c r="U122" s="21">
        <f t="shared" si="13"/>
        <v>0</v>
      </c>
      <c r="V122" s="21">
        <f t="shared" si="14"/>
        <v>446.24999999999994</v>
      </c>
      <c r="W122" s="21">
        <f>+Tabla4[[#This Row],[9KWA]]*350</f>
        <v>0</v>
      </c>
      <c r="X122" s="21">
        <f>350*Tabla4[[#This Row],[Max Factor Medido]]</f>
        <v>446.24999999999994</v>
      </c>
      <c r="Y122" s="39">
        <v>0.92</v>
      </c>
      <c r="Z122" s="3">
        <f t="shared" si="15"/>
        <v>2025</v>
      </c>
      <c r="AA122" s="74">
        <f>+MEDIAN(Tabla4[[#This Row],[kwreal 6]:[kwreal 9]])</f>
        <v>0</v>
      </c>
      <c r="AB122" s="74">
        <f>+Tabla4[[#This Row],[LineaBase-FD]]/350</f>
        <v>0</v>
      </c>
    </row>
    <row r="123" spans="1:28" x14ac:dyDescent="0.3">
      <c r="A123" s="29">
        <v>65005</v>
      </c>
      <c r="B123" s="2">
        <v>24606</v>
      </c>
      <c r="C123" s="2">
        <v>8101</v>
      </c>
      <c r="D123" s="2">
        <v>29441</v>
      </c>
      <c r="E123" s="2">
        <v>2854</v>
      </c>
      <c r="F123" s="77">
        <v>0</v>
      </c>
      <c r="G123" s="77">
        <v>0</v>
      </c>
      <c r="H123" s="77">
        <v>1.306</v>
      </c>
      <c r="I123" s="77">
        <v>1.159</v>
      </c>
      <c r="J123" s="2">
        <v>22058</v>
      </c>
      <c r="K123" s="9" t="s">
        <v>177</v>
      </c>
      <c r="L123" s="6">
        <v>45669</v>
      </c>
      <c r="M123" s="2">
        <v>0.99</v>
      </c>
      <c r="N123" s="67">
        <v>0.85399999999999998</v>
      </c>
      <c r="O123" s="22">
        <f>+MAX(Tabla4[[#This Row],[6KWA]:[9KWA]])</f>
        <v>1.306</v>
      </c>
      <c r="P123" s="3">
        <f t="shared" si="8"/>
        <v>12</v>
      </c>
      <c r="Q123" s="3">
        <f t="shared" si="9"/>
        <v>1</v>
      </c>
      <c r="R123" s="3">
        <f t="shared" si="10"/>
        <v>3</v>
      </c>
      <c r="S123" s="3" t="str">
        <f t="shared" si="11"/>
        <v>enero</v>
      </c>
      <c r="T123" s="21">
        <f t="shared" si="12"/>
        <v>0</v>
      </c>
      <c r="U123" s="21">
        <f t="shared" si="13"/>
        <v>0</v>
      </c>
      <c r="V123" s="21">
        <f t="shared" si="14"/>
        <v>457.1</v>
      </c>
      <c r="W123" s="21">
        <f>+Tabla4[[#This Row],[9KWA]]*350</f>
        <v>405.65000000000003</v>
      </c>
      <c r="X123" s="21">
        <f>350*Tabla4[[#This Row],[Max Factor Medido]]</f>
        <v>457.1</v>
      </c>
      <c r="Y123" s="39">
        <v>0.92</v>
      </c>
      <c r="Z123" s="3">
        <f t="shared" si="15"/>
        <v>2025</v>
      </c>
      <c r="AA123" s="74">
        <f>+MEDIAN(Tabla4[[#This Row],[kwreal 6]:[kwreal 9]])</f>
        <v>202.82500000000002</v>
      </c>
      <c r="AB123" s="74">
        <f>+Tabla4[[#This Row],[LineaBase-FD]]/350</f>
        <v>0.57950000000000002</v>
      </c>
    </row>
    <row r="124" spans="1:28" x14ac:dyDescent="0.3">
      <c r="A124" s="28">
        <v>65032</v>
      </c>
      <c r="B124" s="3">
        <v>24617</v>
      </c>
      <c r="C124" s="3">
        <v>8106</v>
      </c>
      <c r="D124" s="3">
        <v>29452</v>
      </c>
      <c r="E124" s="3">
        <v>2854</v>
      </c>
      <c r="F124" s="77">
        <v>1.29</v>
      </c>
      <c r="G124" s="77">
        <v>1.244</v>
      </c>
      <c r="H124" s="77">
        <v>1.306</v>
      </c>
      <c r="I124" s="77">
        <v>1.1539999999999999</v>
      </c>
      <c r="J124" s="3">
        <v>22065</v>
      </c>
      <c r="K124" s="10" t="s">
        <v>30</v>
      </c>
      <c r="L124" s="5">
        <f t="shared" ref="L124:L150" si="16">L123+1</f>
        <v>45670</v>
      </c>
      <c r="M124" s="3">
        <v>0.97</v>
      </c>
      <c r="N124" s="67">
        <v>1.0720000000000001</v>
      </c>
      <c r="O124" s="22">
        <f>+MAX(Tabla4[[#This Row],[6KWA]:[9KWA]])</f>
        <v>1.306</v>
      </c>
      <c r="P124" s="3">
        <f t="shared" si="8"/>
        <v>13</v>
      </c>
      <c r="Q124" s="3">
        <f t="shared" si="9"/>
        <v>1</v>
      </c>
      <c r="R124" s="3">
        <f t="shared" si="10"/>
        <v>3</v>
      </c>
      <c r="S124" s="3" t="str">
        <f t="shared" si="11"/>
        <v>enero</v>
      </c>
      <c r="T124" s="21">
        <f t="shared" si="12"/>
        <v>451.5</v>
      </c>
      <c r="U124" s="21">
        <f t="shared" si="13"/>
        <v>435.4</v>
      </c>
      <c r="V124" s="21">
        <f t="shared" si="14"/>
        <v>457.1</v>
      </c>
      <c r="W124" s="21">
        <f>+Tabla4[[#This Row],[9KWA]]*350</f>
        <v>403.9</v>
      </c>
      <c r="X124" s="21">
        <f>350*Tabla4[[#This Row],[Max Factor Medido]]</f>
        <v>457.1</v>
      </c>
      <c r="Y124" s="39">
        <v>0.92</v>
      </c>
      <c r="Z124" s="3">
        <f t="shared" si="15"/>
        <v>2025</v>
      </c>
      <c r="AA124" s="74">
        <f>+MEDIAN(Tabla4[[#This Row],[kwreal 6]:[kwreal 9]])</f>
        <v>443.45</v>
      </c>
      <c r="AB124" s="74">
        <f>+Tabla4[[#This Row],[LineaBase-FD]]/350</f>
        <v>1.2669999999999999</v>
      </c>
    </row>
    <row r="125" spans="1:28" x14ac:dyDescent="0.3">
      <c r="A125" s="29">
        <v>65059</v>
      </c>
      <c r="B125" s="2">
        <v>24617</v>
      </c>
      <c r="C125" s="2">
        <v>8106</v>
      </c>
      <c r="D125" s="2">
        <v>29475</v>
      </c>
      <c r="E125" s="2">
        <v>2859</v>
      </c>
      <c r="F125" s="77">
        <v>1.29</v>
      </c>
      <c r="G125" s="77">
        <v>1.244</v>
      </c>
      <c r="H125" s="77">
        <v>1.341</v>
      </c>
      <c r="I125" s="77">
        <v>1.3069999999999999</v>
      </c>
      <c r="J125" s="2">
        <v>22072</v>
      </c>
      <c r="K125" s="9" t="s">
        <v>55</v>
      </c>
      <c r="L125" s="6">
        <f t="shared" si="16"/>
        <v>45671</v>
      </c>
      <c r="M125" s="2">
        <v>0.95</v>
      </c>
      <c r="N125" s="67">
        <v>1.069</v>
      </c>
      <c r="O125" s="22">
        <f>+MAX(Tabla4[[#This Row],[6KWA]:[9KWA]])</f>
        <v>1.341</v>
      </c>
      <c r="P125" s="3">
        <f t="shared" si="8"/>
        <v>14</v>
      </c>
      <c r="Q125" s="3">
        <f t="shared" si="9"/>
        <v>1</v>
      </c>
      <c r="R125" s="3">
        <f t="shared" si="10"/>
        <v>3</v>
      </c>
      <c r="S125" s="3" t="str">
        <f t="shared" si="11"/>
        <v>enero</v>
      </c>
      <c r="T125" s="21">
        <f t="shared" si="12"/>
        <v>451.5</v>
      </c>
      <c r="U125" s="21">
        <f t="shared" si="13"/>
        <v>435.4</v>
      </c>
      <c r="V125" s="21">
        <f t="shared" si="14"/>
        <v>469.34999999999997</v>
      </c>
      <c r="W125" s="21">
        <f>+Tabla4[[#This Row],[9KWA]]*350</f>
        <v>457.45</v>
      </c>
      <c r="X125" s="21">
        <f>350*Tabla4[[#This Row],[Max Factor Medido]]</f>
        <v>469.34999999999997</v>
      </c>
      <c r="Y125" s="39">
        <v>0.92</v>
      </c>
      <c r="Z125" s="3">
        <f t="shared" si="15"/>
        <v>2025</v>
      </c>
      <c r="AA125" s="74">
        <f>+MEDIAN(Tabla4[[#This Row],[kwreal 6]:[kwreal 9]])</f>
        <v>454.47500000000002</v>
      </c>
      <c r="AB125" s="74">
        <f>+Tabla4[[#This Row],[LineaBase-FD]]/350</f>
        <v>1.2985</v>
      </c>
    </row>
    <row r="126" spans="1:28" x14ac:dyDescent="0.3">
      <c r="A126" s="29">
        <v>65087</v>
      </c>
      <c r="B126" s="2">
        <v>24617</v>
      </c>
      <c r="C126" s="2">
        <v>8106</v>
      </c>
      <c r="D126" s="2">
        <v>29498</v>
      </c>
      <c r="E126" s="2">
        <v>2864</v>
      </c>
      <c r="F126" s="77">
        <v>1.29</v>
      </c>
      <c r="G126" s="77">
        <v>1.244</v>
      </c>
      <c r="H126" s="77">
        <v>1.341</v>
      </c>
      <c r="I126" s="77">
        <v>1.3069999999999999</v>
      </c>
      <c r="J126" s="2">
        <v>22079</v>
      </c>
      <c r="K126" s="9" t="s">
        <v>88</v>
      </c>
      <c r="L126" s="6">
        <f t="shared" si="16"/>
        <v>45672</v>
      </c>
      <c r="M126" s="2">
        <v>0.96</v>
      </c>
      <c r="N126" s="67">
        <v>1.111</v>
      </c>
      <c r="O126" s="22">
        <f>+MAX(Tabla4[[#This Row],[6KWA]:[9KWA]])</f>
        <v>1.341</v>
      </c>
      <c r="P126" s="3">
        <f t="shared" si="8"/>
        <v>15</v>
      </c>
      <c r="Q126" s="3">
        <f t="shared" si="9"/>
        <v>1</v>
      </c>
      <c r="R126" s="3">
        <f t="shared" si="10"/>
        <v>3</v>
      </c>
      <c r="S126" s="3" t="str">
        <f t="shared" si="11"/>
        <v>enero</v>
      </c>
      <c r="T126" s="21">
        <f t="shared" si="12"/>
        <v>451.5</v>
      </c>
      <c r="U126" s="21">
        <f t="shared" si="13"/>
        <v>435.4</v>
      </c>
      <c r="V126" s="21">
        <f t="shared" si="14"/>
        <v>469.34999999999997</v>
      </c>
      <c r="W126" s="21">
        <f>+Tabla4[[#This Row],[9KWA]]*350</f>
        <v>457.45</v>
      </c>
      <c r="X126" s="21">
        <f>350*Tabla4[[#This Row],[Max Factor Medido]]</f>
        <v>469.34999999999997</v>
      </c>
      <c r="Y126" s="39">
        <v>0.92</v>
      </c>
      <c r="Z126" s="3">
        <f t="shared" si="15"/>
        <v>2025</v>
      </c>
      <c r="AA126" s="74">
        <f>+MEDIAN(Tabla4[[#This Row],[kwreal 6]:[kwreal 9]])</f>
        <v>454.47500000000002</v>
      </c>
      <c r="AB126" s="74">
        <f>+Tabla4[[#This Row],[LineaBase-FD]]/350</f>
        <v>1.2985</v>
      </c>
    </row>
    <row r="127" spans="1:28" x14ac:dyDescent="0.3">
      <c r="A127" s="28">
        <v>65114</v>
      </c>
      <c r="B127" s="3">
        <v>24629</v>
      </c>
      <c r="C127" s="3">
        <v>8111</v>
      </c>
      <c r="D127" s="3">
        <v>29509</v>
      </c>
      <c r="E127" s="3">
        <v>2864</v>
      </c>
      <c r="F127" s="77">
        <v>1.34</v>
      </c>
      <c r="G127" s="77">
        <v>1.2809999999999999</v>
      </c>
      <c r="H127" s="77">
        <v>1.341</v>
      </c>
      <c r="I127" s="77">
        <v>1.3069999999999999</v>
      </c>
      <c r="J127" s="3">
        <v>22085</v>
      </c>
      <c r="K127" s="10" t="s">
        <v>31</v>
      </c>
      <c r="L127" s="5">
        <f t="shared" si="16"/>
        <v>45673</v>
      </c>
      <c r="M127" s="3">
        <v>0.97</v>
      </c>
      <c r="N127" s="67">
        <v>1.0149999999999999</v>
      </c>
      <c r="O127" s="22">
        <f>+MAX(Tabla4[[#This Row],[6KWA]:[9KWA]])</f>
        <v>1.341</v>
      </c>
      <c r="P127" s="3">
        <f t="shared" si="8"/>
        <v>16</v>
      </c>
      <c r="Q127" s="3">
        <f t="shared" si="9"/>
        <v>1</v>
      </c>
      <c r="R127" s="3">
        <f t="shared" si="10"/>
        <v>3</v>
      </c>
      <c r="S127" s="3" t="str">
        <f t="shared" si="11"/>
        <v>enero</v>
      </c>
      <c r="T127" s="21">
        <f t="shared" si="12"/>
        <v>469</v>
      </c>
      <c r="U127" s="21">
        <f t="shared" si="13"/>
        <v>448.34999999999997</v>
      </c>
      <c r="V127" s="21">
        <f t="shared" si="14"/>
        <v>469.34999999999997</v>
      </c>
      <c r="W127" s="21">
        <f>+Tabla4[[#This Row],[9KWA]]*350</f>
        <v>457.45</v>
      </c>
      <c r="X127" s="21">
        <f>350*Tabla4[[#This Row],[Max Factor Medido]]</f>
        <v>469.34999999999997</v>
      </c>
      <c r="Y127" s="39">
        <v>0.92</v>
      </c>
      <c r="Z127" s="3">
        <f t="shared" si="15"/>
        <v>2025</v>
      </c>
      <c r="AA127" s="74">
        <f>+MEDIAN(Tabla4[[#This Row],[kwreal 6]:[kwreal 9]])</f>
        <v>463.22500000000002</v>
      </c>
      <c r="AB127" s="74">
        <f>+Tabla4[[#This Row],[LineaBase-FD]]/350</f>
        <v>1.3235000000000001</v>
      </c>
    </row>
    <row r="128" spans="1:28" x14ac:dyDescent="0.3">
      <c r="A128" s="28">
        <v>65743</v>
      </c>
      <c r="B128" s="3">
        <v>24642</v>
      </c>
      <c r="C128" s="3">
        <v>8116</v>
      </c>
      <c r="D128" s="3">
        <v>29520</v>
      </c>
      <c r="E128" s="3">
        <v>2864</v>
      </c>
      <c r="F128" s="77">
        <v>1.3680000000000001</v>
      </c>
      <c r="G128" s="77">
        <v>1.3120000000000001</v>
      </c>
      <c r="H128" s="77">
        <v>1.341</v>
      </c>
      <c r="I128" s="77">
        <v>1.45</v>
      </c>
      <c r="J128" s="3">
        <v>22092</v>
      </c>
      <c r="K128" s="10" t="s">
        <v>37</v>
      </c>
      <c r="L128" s="5">
        <f t="shared" si="16"/>
        <v>45674</v>
      </c>
      <c r="M128" s="3">
        <v>0.96</v>
      </c>
      <c r="N128" s="67">
        <v>1.1399999999999999</v>
      </c>
      <c r="O128" s="22">
        <f>+MAX(Tabla4[[#This Row],[6KWA]:[9KWA]])</f>
        <v>1.45</v>
      </c>
      <c r="P128" s="3">
        <f t="shared" si="8"/>
        <v>17</v>
      </c>
      <c r="Q128" s="3">
        <f t="shared" si="9"/>
        <v>1</v>
      </c>
      <c r="R128" s="3">
        <f t="shared" si="10"/>
        <v>3</v>
      </c>
      <c r="S128" s="3" t="str">
        <f t="shared" si="11"/>
        <v>enero</v>
      </c>
      <c r="T128" s="21">
        <f t="shared" si="12"/>
        <v>478.8</v>
      </c>
      <c r="U128" s="21">
        <f t="shared" si="13"/>
        <v>459.20000000000005</v>
      </c>
      <c r="V128" s="21">
        <f t="shared" si="14"/>
        <v>469.34999999999997</v>
      </c>
      <c r="W128" s="21">
        <f>+Tabla4[[#This Row],[9KWA]]*350</f>
        <v>507.5</v>
      </c>
      <c r="X128" s="21">
        <f>350*Tabla4[[#This Row],[Max Factor Medido]]</f>
        <v>507.5</v>
      </c>
      <c r="Y128" s="39">
        <v>0.92</v>
      </c>
      <c r="Z128" s="3">
        <f t="shared" si="15"/>
        <v>2025</v>
      </c>
      <c r="AA128" s="74">
        <f>+MEDIAN(Tabla4[[#This Row],[kwreal 6]:[kwreal 9]])</f>
        <v>474.07499999999999</v>
      </c>
      <c r="AB128" s="74">
        <f>+Tabla4[[#This Row],[LineaBase-FD]]/350</f>
        <v>1.3545</v>
      </c>
    </row>
    <row r="129" spans="1:28" x14ac:dyDescent="0.3">
      <c r="A129" s="28">
        <v>65173</v>
      </c>
      <c r="B129" s="3">
        <v>24655</v>
      </c>
      <c r="C129" s="3">
        <v>8121</v>
      </c>
      <c r="D129" s="3">
        <v>29533</v>
      </c>
      <c r="E129" s="3">
        <v>2864</v>
      </c>
      <c r="F129" s="77">
        <v>1.4330000000000001</v>
      </c>
      <c r="G129" s="77">
        <v>1.3979999999999999</v>
      </c>
      <c r="H129" s="77">
        <v>1.341</v>
      </c>
      <c r="I129" s="77">
        <v>1.3069999999999999</v>
      </c>
      <c r="J129" s="3">
        <v>22100</v>
      </c>
      <c r="K129" s="10" t="s">
        <v>177</v>
      </c>
      <c r="L129" s="5">
        <f t="shared" si="16"/>
        <v>45675</v>
      </c>
      <c r="M129" s="3">
        <v>0.97</v>
      </c>
      <c r="N129" s="67">
        <v>1.1220000000000001</v>
      </c>
      <c r="O129" s="22">
        <f>+MAX(Tabla4[[#This Row],[6KWA]:[9KWA]])</f>
        <v>1.4330000000000001</v>
      </c>
      <c r="P129" s="3">
        <f t="shared" si="8"/>
        <v>18</v>
      </c>
      <c r="Q129" s="3">
        <f t="shared" si="9"/>
        <v>1</v>
      </c>
      <c r="R129" s="3">
        <f t="shared" si="10"/>
        <v>3</v>
      </c>
      <c r="S129" s="3" t="str">
        <f t="shared" si="11"/>
        <v>enero</v>
      </c>
      <c r="T129" s="21">
        <f t="shared" si="12"/>
        <v>501.55</v>
      </c>
      <c r="U129" s="21">
        <f t="shared" si="13"/>
        <v>489.29999999999995</v>
      </c>
      <c r="V129" s="21">
        <f t="shared" si="14"/>
        <v>469.34999999999997</v>
      </c>
      <c r="W129" s="21">
        <f>+Tabla4[[#This Row],[9KWA]]*350</f>
        <v>457.45</v>
      </c>
      <c r="X129" s="21">
        <f>350*Tabla4[[#This Row],[Max Factor Medido]]</f>
        <v>501.55</v>
      </c>
      <c r="Y129" s="39">
        <v>0.92</v>
      </c>
      <c r="Z129" s="3">
        <f t="shared" si="15"/>
        <v>2025</v>
      </c>
      <c r="AA129" s="74">
        <f>+MEDIAN(Tabla4[[#This Row],[kwreal 6]:[kwreal 9]])</f>
        <v>479.32499999999993</v>
      </c>
      <c r="AB129" s="74">
        <f>+Tabla4[[#This Row],[LineaBase-FD]]/350</f>
        <v>1.3694999999999997</v>
      </c>
    </row>
    <row r="130" spans="1:28" x14ac:dyDescent="0.3">
      <c r="A130" s="28">
        <v>65203</v>
      </c>
      <c r="B130" s="3">
        <v>24667</v>
      </c>
      <c r="C130" s="3">
        <v>8126</v>
      </c>
      <c r="D130" s="3">
        <v>29544</v>
      </c>
      <c r="E130" s="3">
        <v>2864</v>
      </c>
      <c r="F130" s="77">
        <v>1.4330000000000001</v>
      </c>
      <c r="G130" s="77">
        <v>1.3979999999999999</v>
      </c>
      <c r="H130" s="77">
        <v>1.341</v>
      </c>
      <c r="I130" s="77">
        <v>1.3069999999999999</v>
      </c>
      <c r="J130" s="3">
        <v>22108</v>
      </c>
      <c r="K130" s="10" t="s">
        <v>92</v>
      </c>
      <c r="L130" s="5">
        <f t="shared" si="16"/>
        <v>45676</v>
      </c>
      <c r="M130" s="3">
        <v>0.96</v>
      </c>
      <c r="N130" s="67">
        <v>1.2929999999999999</v>
      </c>
      <c r="O130" s="22">
        <f>+MAX(Tabla4[[#This Row],[6KWA]:[9KWA]])</f>
        <v>1.4330000000000001</v>
      </c>
      <c r="P130" s="3">
        <f t="shared" ref="P130:P193" si="17">+DAY(L130)</f>
        <v>19</v>
      </c>
      <c r="Q130" s="3">
        <f t="shared" ref="Q130:Q193" si="18">+MONTH(L130)</f>
        <v>1</v>
      </c>
      <c r="R130" s="3">
        <f t="shared" ref="R130:R193" si="19">WEEKNUM(L130)</f>
        <v>4</v>
      </c>
      <c r="S130" s="3" t="str">
        <f t="shared" ref="S130:S193" si="20">TEXT(L130,"mmmm")</f>
        <v>enero</v>
      </c>
      <c r="T130" s="21">
        <f t="shared" ref="T130:T193" si="21">350*F130</f>
        <v>501.55</v>
      </c>
      <c r="U130" s="21">
        <f t="shared" ref="U130:U193" si="22">350*G130</f>
        <v>489.29999999999995</v>
      </c>
      <c r="V130" s="21">
        <f t="shared" ref="V130:V193" si="23">350*H130</f>
        <v>469.34999999999997</v>
      </c>
      <c r="W130" s="21">
        <f>+Tabla4[[#This Row],[9KWA]]*350</f>
        <v>457.45</v>
      </c>
      <c r="X130" s="21">
        <f>350*Tabla4[[#This Row],[Max Factor Medido]]</f>
        <v>501.55</v>
      </c>
      <c r="Y130" s="39">
        <v>0.92</v>
      </c>
      <c r="Z130" s="3">
        <f t="shared" ref="Z130:Z193" si="24">+YEAR(L130)</f>
        <v>2025</v>
      </c>
      <c r="AA130" s="74">
        <f>+MEDIAN(Tabla4[[#This Row],[kwreal 6]:[kwreal 9]])</f>
        <v>479.32499999999993</v>
      </c>
      <c r="AB130" s="74">
        <f>+Tabla4[[#This Row],[LineaBase-FD]]/350</f>
        <v>1.3694999999999997</v>
      </c>
    </row>
    <row r="131" spans="1:28" x14ac:dyDescent="0.3">
      <c r="A131" s="28">
        <v>65231</v>
      </c>
      <c r="B131" s="3">
        <v>24680</v>
      </c>
      <c r="C131" s="3">
        <v>8131</v>
      </c>
      <c r="D131" s="3">
        <v>29555</v>
      </c>
      <c r="E131" s="3">
        <v>2864</v>
      </c>
      <c r="F131" s="77">
        <v>1.4330000000000001</v>
      </c>
      <c r="G131" s="77">
        <v>1.3979999999999999</v>
      </c>
      <c r="H131" s="77">
        <v>1.341</v>
      </c>
      <c r="I131" s="77">
        <v>1.3069999999999999</v>
      </c>
      <c r="J131" s="3">
        <v>22116</v>
      </c>
      <c r="K131" s="10" t="s">
        <v>178</v>
      </c>
      <c r="L131" s="5">
        <f t="shared" si="16"/>
        <v>45677</v>
      </c>
      <c r="M131" s="3">
        <v>0.96</v>
      </c>
      <c r="N131" s="67">
        <v>1.23</v>
      </c>
      <c r="O131" s="22">
        <f>+MAX(Tabla4[[#This Row],[6KWA]:[9KWA]])</f>
        <v>1.4330000000000001</v>
      </c>
      <c r="P131" s="3">
        <f t="shared" si="17"/>
        <v>20</v>
      </c>
      <c r="Q131" s="3">
        <f t="shared" si="18"/>
        <v>1</v>
      </c>
      <c r="R131" s="3">
        <f t="shared" si="19"/>
        <v>4</v>
      </c>
      <c r="S131" s="3" t="str">
        <f t="shared" si="20"/>
        <v>enero</v>
      </c>
      <c r="T131" s="21">
        <f t="shared" si="21"/>
        <v>501.55</v>
      </c>
      <c r="U131" s="21">
        <f t="shared" si="22"/>
        <v>489.29999999999995</v>
      </c>
      <c r="V131" s="21">
        <f t="shared" si="23"/>
        <v>469.34999999999997</v>
      </c>
      <c r="W131" s="21">
        <f>+Tabla4[[#This Row],[9KWA]]*350</f>
        <v>457.45</v>
      </c>
      <c r="X131" s="21">
        <f>350*Tabla4[[#This Row],[Max Factor Medido]]</f>
        <v>501.55</v>
      </c>
      <c r="Y131" s="39">
        <v>0.92</v>
      </c>
      <c r="Z131" s="3">
        <f t="shared" si="24"/>
        <v>2025</v>
      </c>
      <c r="AA131" s="74">
        <f>+MEDIAN(Tabla4[[#This Row],[kwreal 6]:[kwreal 9]])</f>
        <v>479.32499999999993</v>
      </c>
      <c r="AB131" s="74">
        <f>+Tabla4[[#This Row],[LineaBase-FD]]/350</f>
        <v>1.3694999999999997</v>
      </c>
    </row>
    <row r="132" spans="1:28" x14ac:dyDescent="0.3">
      <c r="A132" s="28">
        <v>65256</v>
      </c>
      <c r="B132" s="3">
        <v>24680</v>
      </c>
      <c r="C132" s="3">
        <v>8131</v>
      </c>
      <c r="D132" s="3">
        <v>29557</v>
      </c>
      <c r="E132" s="3">
        <v>2864</v>
      </c>
      <c r="F132" s="77">
        <v>1.4330000000000001</v>
      </c>
      <c r="G132" s="77">
        <v>1.3979999999999999</v>
      </c>
      <c r="H132" s="77">
        <v>1.5629999999999999</v>
      </c>
      <c r="I132" s="77">
        <v>1.3069999999999999</v>
      </c>
      <c r="J132" s="3">
        <v>22122</v>
      </c>
      <c r="K132" s="10" t="s">
        <v>179</v>
      </c>
      <c r="L132" s="5">
        <f t="shared" si="16"/>
        <v>45678</v>
      </c>
      <c r="M132" s="3">
        <v>0.93</v>
      </c>
      <c r="N132" s="67">
        <v>1.284</v>
      </c>
      <c r="O132" s="22">
        <f>+MAX(Tabla4[[#This Row],[6KWA]:[9KWA]])</f>
        <v>1.5629999999999999</v>
      </c>
      <c r="P132" s="3">
        <f t="shared" si="17"/>
        <v>21</v>
      </c>
      <c r="Q132" s="3">
        <f t="shared" si="18"/>
        <v>1</v>
      </c>
      <c r="R132" s="3">
        <f t="shared" si="19"/>
        <v>4</v>
      </c>
      <c r="S132" s="3" t="str">
        <f t="shared" si="20"/>
        <v>enero</v>
      </c>
      <c r="T132" s="21">
        <f t="shared" si="21"/>
        <v>501.55</v>
      </c>
      <c r="U132" s="21">
        <f t="shared" si="22"/>
        <v>489.29999999999995</v>
      </c>
      <c r="V132" s="21">
        <f t="shared" si="23"/>
        <v>547.04999999999995</v>
      </c>
      <c r="W132" s="21">
        <f>+Tabla4[[#This Row],[9KWA]]*350</f>
        <v>457.45</v>
      </c>
      <c r="X132" s="21">
        <f>350*Tabla4[[#This Row],[Max Factor Medido]]</f>
        <v>547.04999999999995</v>
      </c>
      <c r="Y132" s="39">
        <v>0.92</v>
      </c>
      <c r="Z132" s="3">
        <f t="shared" si="24"/>
        <v>2025</v>
      </c>
      <c r="AA132" s="74">
        <f>+MEDIAN(Tabla4[[#This Row],[kwreal 6]:[kwreal 9]])</f>
        <v>495.42499999999995</v>
      </c>
      <c r="AB132" s="74">
        <f>+Tabla4[[#This Row],[LineaBase-FD]]/350</f>
        <v>1.4155</v>
      </c>
    </row>
    <row r="133" spans="1:28" x14ac:dyDescent="0.3">
      <c r="A133" s="29">
        <v>65285</v>
      </c>
      <c r="B133" s="2">
        <v>24680</v>
      </c>
      <c r="C133" s="2">
        <v>8131</v>
      </c>
      <c r="D133" s="2">
        <v>29559</v>
      </c>
      <c r="E133" s="2">
        <v>2873</v>
      </c>
      <c r="F133" s="77">
        <v>1.4330000000000001</v>
      </c>
      <c r="G133" s="77">
        <v>1.3979999999999999</v>
      </c>
      <c r="H133" s="77">
        <v>1.5629999999999999</v>
      </c>
      <c r="I133" s="77">
        <v>1.5149999999999999</v>
      </c>
      <c r="J133" s="2">
        <v>22135</v>
      </c>
      <c r="K133" s="9" t="s">
        <v>66</v>
      </c>
      <c r="L133" s="6">
        <f t="shared" si="16"/>
        <v>45679</v>
      </c>
      <c r="M133" s="2">
        <v>0.9</v>
      </c>
      <c r="N133" s="67">
        <v>1.274</v>
      </c>
      <c r="O133" s="22">
        <f>+MAX(Tabla4[[#This Row],[6KWA]:[9KWA]])</f>
        <v>1.5629999999999999</v>
      </c>
      <c r="P133" s="3">
        <f t="shared" si="17"/>
        <v>22</v>
      </c>
      <c r="Q133" s="3">
        <f t="shared" si="18"/>
        <v>1</v>
      </c>
      <c r="R133" s="3">
        <f t="shared" si="19"/>
        <v>4</v>
      </c>
      <c r="S133" s="3" t="str">
        <f t="shared" si="20"/>
        <v>enero</v>
      </c>
      <c r="T133" s="21">
        <f t="shared" si="21"/>
        <v>501.55</v>
      </c>
      <c r="U133" s="21">
        <f t="shared" si="22"/>
        <v>489.29999999999995</v>
      </c>
      <c r="V133" s="21">
        <f t="shared" si="23"/>
        <v>547.04999999999995</v>
      </c>
      <c r="W133" s="21">
        <f>+Tabla4[[#This Row],[9KWA]]*350</f>
        <v>530.25</v>
      </c>
      <c r="X133" s="21">
        <f>350*Tabla4[[#This Row],[Max Factor Medido]]</f>
        <v>547.04999999999995</v>
      </c>
      <c r="Y133" s="39">
        <v>0.92</v>
      </c>
      <c r="Z133" s="3">
        <f t="shared" si="24"/>
        <v>2025</v>
      </c>
      <c r="AA133" s="74">
        <f>+MEDIAN(Tabla4[[#This Row],[kwreal 6]:[kwreal 9]])</f>
        <v>515.9</v>
      </c>
      <c r="AB133" s="74">
        <f>+Tabla4[[#This Row],[LineaBase-FD]]/350</f>
        <v>1.474</v>
      </c>
    </row>
    <row r="134" spans="1:28" x14ac:dyDescent="0.3">
      <c r="A134" s="29">
        <v>65303</v>
      </c>
      <c r="B134" s="2">
        <v>24696</v>
      </c>
      <c r="C134" s="2">
        <v>8141</v>
      </c>
      <c r="D134" s="2">
        <v>29602</v>
      </c>
      <c r="E134" s="2">
        <v>2873</v>
      </c>
      <c r="F134" s="77">
        <v>1.446</v>
      </c>
      <c r="G134" s="77">
        <v>1.4159999999999999</v>
      </c>
      <c r="H134" s="77">
        <v>1.5629999999999999</v>
      </c>
      <c r="I134" s="77">
        <v>1.5149999999999999</v>
      </c>
      <c r="J134" s="2">
        <v>22149</v>
      </c>
      <c r="K134" s="9" t="s">
        <v>180</v>
      </c>
      <c r="L134" s="6">
        <f t="shared" si="16"/>
        <v>45680</v>
      </c>
      <c r="M134" s="2">
        <v>0.95</v>
      </c>
      <c r="N134" s="67">
        <v>1.1879999999999999</v>
      </c>
      <c r="O134" s="22">
        <f>+MAX(Tabla4[[#This Row],[6KWA]:[9KWA]])</f>
        <v>1.5629999999999999</v>
      </c>
      <c r="P134" s="3">
        <f t="shared" si="17"/>
        <v>23</v>
      </c>
      <c r="Q134" s="3">
        <f t="shared" si="18"/>
        <v>1</v>
      </c>
      <c r="R134" s="3">
        <f t="shared" si="19"/>
        <v>4</v>
      </c>
      <c r="S134" s="3" t="str">
        <f t="shared" si="20"/>
        <v>enero</v>
      </c>
      <c r="T134" s="21">
        <f t="shared" si="21"/>
        <v>506.09999999999997</v>
      </c>
      <c r="U134" s="21">
        <f t="shared" si="22"/>
        <v>495.59999999999997</v>
      </c>
      <c r="V134" s="21">
        <f t="shared" si="23"/>
        <v>547.04999999999995</v>
      </c>
      <c r="W134" s="21">
        <f>+Tabla4[[#This Row],[9KWA]]*350</f>
        <v>530.25</v>
      </c>
      <c r="X134" s="21">
        <f>350*Tabla4[[#This Row],[Max Factor Medido]]</f>
        <v>547.04999999999995</v>
      </c>
      <c r="Y134" s="39">
        <v>0.92</v>
      </c>
      <c r="Z134" s="3">
        <f t="shared" si="24"/>
        <v>2025</v>
      </c>
      <c r="AA134" s="74">
        <f>+MEDIAN(Tabla4[[#This Row],[kwreal 6]:[kwreal 9]])</f>
        <v>518.17499999999995</v>
      </c>
      <c r="AB134" s="74">
        <f>+Tabla4[[#This Row],[LineaBase-FD]]/350</f>
        <v>1.4804999999999999</v>
      </c>
    </row>
    <row r="135" spans="1:28" x14ac:dyDescent="0.3">
      <c r="A135" s="28">
        <v>65343</v>
      </c>
      <c r="B135" s="3">
        <v>24708</v>
      </c>
      <c r="C135" s="3">
        <v>8141</v>
      </c>
      <c r="D135" s="3">
        <v>29621</v>
      </c>
      <c r="E135" s="3">
        <v>2873</v>
      </c>
      <c r="F135" s="77">
        <v>1.446</v>
      </c>
      <c r="G135" s="77">
        <v>1.4159999999999999</v>
      </c>
      <c r="H135" s="77">
        <v>1.5629999999999999</v>
      </c>
      <c r="I135" s="77">
        <v>1.5149999999999999</v>
      </c>
      <c r="J135" s="3">
        <v>22157</v>
      </c>
      <c r="K135" s="10" t="s">
        <v>30</v>
      </c>
      <c r="L135" s="5">
        <f t="shared" si="16"/>
        <v>45681</v>
      </c>
      <c r="M135" s="3">
        <v>0.96</v>
      </c>
      <c r="N135" s="67">
        <v>1.169</v>
      </c>
      <c r="O135" s="22">
        <f>+MAX(Tabla4[[#This Row],[6KWA]:[9KWA]])</f>
        <v>1.5629999999999999</v>
      </c>
      <c r="P135" s="3">
        <f t="shared" si="17"/>
        <v>24</v>
      </c>
      <c r="Q135" s="3">
        <f t="shared" si="18"/>
        <v>1</v>
      </c>
      <c r="R135" s="3">
        <f t="shared" si="19"/>
        <v>4</v>
      </c>
      <c r="S135" s="3" t="str">
        <f t="shared" si="20"/>
        <v>enero</v>
      </c>
      <c r="T135" s="21">
        <f t="shared" si="21"/>
        <v>506.09999999999997</v>
      </c>
      <c r="U135" s="21">
        <f t="shared" si="22"/>
        <v>495.59999999999997</v>
      </c>
      <c r="V135" s="21">
        <f t="shared" si="23"/>
        <v>547.04999999999995</v>
      </c>
      <c r="W135" s="21">
        <f>+Tabla4[[#This Row],[9KWA]]*350</f>
        <v>530.25</v>
      </c>
      <c r="X135" s="21">
        <f>350*Tabla4[[#This Row],[Max Factor Medido]]</f>
        <v>547.04999999999995</v>
      </c>
      <c r="Y135" s="39">
        <v>0.92</v>
      </c>
      <c r="Z135" s="3">
        <f t="shared" si="24"/>
        <v>2025</v>
      </c>
      <c r="AA135" s="74">
        <f>+MEDIAN(Tabla4[[#This Row],[kwreal 6]:[kwreal 9]])</f>
        <v>518.17499999999995</v>
      </c>
      <c r="AB135" s="74">
        <f>+Tabla4[[#This Row],[LineaBase-FD]]/350</f>
        <v>1.4804999999999999</v>
      </c>
    </row>
    <row r="136" spans="1:28" x14ac:dyDescent="0.3">
      <c r="A136" s="28">
        <v>65373</v>
      </c>
      <c r="B136" s="3">
        <v>24718</v>
      </c>
      <c r="C136" s="3">
        <v>8146</v>
      </c>
      <c r="D136" s="3">
        <v>29634</v>
      </c>
      <c r="E136" s="3">
        <v>2873</v>
      </c>
      <c r="F136" s="77">
        <v>1.446</v>
      </c>
      <c r="G136" s="77">
        <v>1.4159999999999999</v>
      </c>
      <c r="H136" s="77">
        <v>1.5629999999999999</v>
      </c>
      <c r="I136" s="77">
        <v>1.5149999999999999</v>
      </c>
      <c r="J136" s="3">
        <v>22165</v>
      </c>
      <c r="K136" s="10" t="s">
        <v>166</v>
      </c>
      <c r="L136" s="5">
        <f t="shared" si="16"/>
        <v>45682</v>
      </c>
      <c r="M136" s="3">
        <v>0.97</v>
      </c>
      <c r="N136" s="67">
        <v>1.0580000000000001</v>
      </c>
      <c r="O136" s="22">
        <f>+MAX(Tabla4[[#This Row],[6KWA]:[9KWA]])</f>
        <v>1.5629999999999999</v>
      </c>
      <c r="P136" s="3">
        <f t="shared" si="17"/>
        <v>25</v>
      </c>
      <c r="Q136" s="3">
        <f t="shared" si="18"/>
        <v>1</v>
      </c>
      <c r="R136" s="3">
        <f t="shared" si="19"/>
        <v>4</v>
      </c>
      <c r="S136" s="3" t="str">
        <f t="shared" si="20"/>
        <v>enero</v>
      </c>
      <c r="T136" s="21">
        <f t="shared" si="21"/>
        <v>506.09999999999997</v>
      </c>
      <c r="U136" s="21">
        <f t="shared" si="22"/>
        <v>495.59999999999997</v>
      </c>
      <c r="V136" s="21">
        <f t="shared" si="23"/>
        <v>547.04999999999995</v>
      </c>
      <c r="W136" s="21">
        <f>+Tabla4[[#This Row],[9KWA]]*350</f>
        <v>530.25</v>
      </c>
      <c r="X136" s="21">
        <f>350*Tabla4[[#This Row],[Max Factor Medido]]</f>
        <v>547.04999999999995</v>
      </c>
      <c r="Y136" s="39">
        <v>0.92</v>
      </c>
      <c r="Z136" s="3">
        <f t="shared" si="24"/>
        <v>2025</v>
      </c>
      <c r="AA136" s="74">
        <f>+MEDIAN(Tabla4[[#This Row],[kwreal 6]:[kwreal 9]])</f>
        <v>518.17499999999995</v>
      </c>
      <c r="AB136" s="74">
        <f>+Tabla4[[#This Row],[LineaBase-FD]]/350</f>
        <v>1.4804999999999999</v>
      </c>
    </row>
    <row r="137" spans="1:28" x14ac:dyDescent="0.3">
      <c r="A137" s="28">
        <v>65402</v>
      </c>
      <c r="B137" s="3">
        <v>24731</v>
      </c>
      <c r="C137" s="3">
        <v>8150</v>
      </c>
      <c r="D137" s="3">
        <v>29646</v>
      </c>
      <c r="E137" s="3">
        <v>2873</v>
      </c>
      <c r="F137" s="77">
        <v>1.446</v>
      </c>
      <c r="G137" s="77">
        <v>1.4159999999999999</v>
      </c>
      <c r="H137" s="77">
        <v>1.5629999999999999</v>
      </c>
      <c r="I137" s="77">
        <v>1.5149999999999999</v>
      </c>
      <c r="J137" s="3">
        <v>22173</v>
      </c>
      <c r="K137" s="10" t="s">
        <v>28</v>
      </c>
      <c r="L137" s="5">
        <f t="shared" si="16"/>
        <v>45683</v>
      </c>
      <c r="M137" s="3">
        <v>0.98</v>
      </c>
      <c r="N137" s="67">
        <v>1.012</v>
      </c>
      <c r="O137" s="22">
        <f>+MAX(Tabla4[[#This Row],[6KWA]:[9KWA]])</f>
        <v>1.5629999999999999</v>
      </c>
      <c r="P137" s="3">
        <f t="shared" si="17"/>
        <v>26</v>
      </c>
      <c r="Q137" s="3">
        <f t="shared" si="18"/>
        <v>1</v>
      </c>
      <c r="R137" s="3">
        <f t="shared" si="19"/>
        <v>5</v>
      </c>
      <c r="S137" s="3" t="str">
        <f t="shared" si="20"/>
        <v>enero</v>
      </c>
      <c r="T137" s="21">
        <f t="shared" si="21"/>
        <v>506.09999999999997</v>
      </c>
      <c r="U137" s="21">
        <f t="shared" si="22"/>
        <v>495.59999999999997</v>
      </c>
      <c r="V137" s="21">
        <f t="shared" si="23"/>
        <v>547.04999999999995</v>
      </c>
      <c r="W137" s="21">
        <f>+Tabla4[[#This Row],[9KWA]]*350</f>
        <v>530.25</v>
      </c>
      <c r="X137" s="21">
        <f>350*Tabla4[[#This Row],[Max Factor Medido]]</f>
        <v>547.04999999999995</v>
      </c>
      <c r="Y137" s="39">
        <v>0.92</v>
      </c>
      <c r="Z137" s="3">
        <f t="shared" si="24"/>
        <v>2025</v>
      </c>
      <c r="AA137" s="74">
        <f>+MEDIAN(Tabla4[[#This Row],[kwreal 6]:[kwreal 9]])</f>
        <v>518.17499999999995</v>
      </c>
      <c r="AB137" s="74">
        <f>+Tabla4[[#This Row],[LineaBase-FD]]/350</f>
        <v>1.4804999999999999</v>
      </c>
    </row>
    <row r="138" spans="1:28" x14ac:dyDescent="0.3">
      <c r="A138" s="28">
        <v>65432</v>
      </c>
      <c r="B138" s="3">
        <v>24744</v>
      </c>
      <c r="C138" s="3">
        <v>8156</v>
      </c>
      <c r="D138" s="3">
        <v>29657</v>
      </c>
      <c r="E138" s="3">
        <v>2873</v>
      </c>
      <c r="F138" s="77">
        <v>1.446</v>
      </c>
      <c r="G138" s="77">
        <v>1.4159999999999999</v>
      </c>
      <c r="H138" s="77">
        <v>1.5629999999999999</v>
      </c>
      <c r="I138" s="77">
        <v>1.5149999999999999</v>
      </c>
      <c r="J138" s="3">
        <v>22180</v>
      </c>
      <c r="K138" s="10" t="s">
        <v>28</v>
      </c>
      <c r="L138" s="5">
        <f t="shared" si="16"/>
        <v>45684</v>
      </c>
      <c r="M138" s="3">
        <v>0.97</v>
      </c>
      <c r="N138" s="67">
        <v>1.1719999999999999</v>
      </c>
      <c r="O138" s="22">
        <f>+MAX(Tabla4[[#This Row],[6KWA]:[9KWA]])</f>
        <v>1.5629999999999999</v>
      </c>
      <c r="P138" s="3">
        <f t="shared" si="17"/>
        <v>27</v>
      </c>
      <c r="Q138" s="3">
        <f t="shared" si="18"/>
        <v>1</v>
      </c>
      <c r="R138" s="3">
        <f t="shared" si="19"/>
        <v>5</v>
      </c>
      <c r="S138" s="3" t="str">
        <f t="shared" si="20"/>
        <v>enero</v>
      </c>
      <c r="T138" s="21">
        <f t="shared" si="21"/>
        <v>506.09999999999997</v>
      </c>
      <c r="U138" s="21">
        <f t="shared" si="22"/>
        <v>495.59999999999997</v>
      </c>
      <c r="V138" s="21">
        <f t="shared" si="23"/>
        <v>547.04999999999995</v>
      </c>
      <c r="W138" s="21">
        <f>+Tabla4[[#This Row],[9KWA]]*350</f>
        <v>530.25</v>
      </c>
      <c r="X138" s="21">
        <f>350*Tabla4[[#This Row],[Max Factor Medido]]</f>
        <v>547.04999999999995</v>
      </c>
      <c r="Y138" s="39">
        <v>0.92</v>
      </c>
      <c r="Z138" s="3">
        <f t="shared" si="24"/>
        <v>2025</v>
      </c>
      <c r="AA138" s="74">
        <f>+MEDIAN(Tabla4[[#This Row],[kwreal 6]:[kwreal 9]])</f>
        <v>518.17499999999995</v>
      </c>
      <c r="AB138" s="74">
        <f>+Tabla4[[#This Row],[LineaBase-FD]]/350</f>
        <v>1.4804999999999999</v>
      </c>
    </row>
    <row r="139" spans="1:28" x14ac:dyDescent="0.3">
      <c r="A139" s="29">
        <v>65461</v>
      </c>
      <c r="B139" s="2">
        <v>24744</v>
      </c>
      <c r="C139" s="2">
        <v>8156</v>
      </c>
      <c r="D139" s="2">
        <v>29682</v>
      </c>
      <c r="E139" s="2">
        <v>2873</v>
      </c>
      <c r="F139" s="77">
        <v>1.446</v>
      </c>
      <c r="G139" s="77">
        <v>1.4159999999999999</v>
      </c>
      <c r="H139" s="77">
        <v>1.5629999999999999</v>
      </c>
      <c r="I139" s="77">
        <v>1.5149999999999999</v>
      </c>
      <c r="J139" s="2">
        <v>22189</v>
      </c>
      <c r="K139" s="9" t="s">
        <v>35</v>
      </c>
      <c r="L139" s="6">
        <f t="shared" si="16"/>
        <v>45685</v>
      </c>
      <c r="M139" s="2">
        <v>0.94</v>
      </c>
      <c r="N139" s="67">
        <v>1.042</v>
      </c>
      <c r="O139" s="22">
        <f>+MAX(Tabla4[[#This Row],[6KWA]:[9KWA]])</f>
        <v>1.5629999999999999</v>
      </c>
      <c r="P139" s="3">
        <f t="shared" si="17"/>
        <v>28</v>
      </c>
      <c r="Q139" s="3">
        <f t="shared" si="18"/>
        <v>1</v>
      </c>
      <c r="R139" s="3">
        <f t="shared" si="19"/>
        <v>5</v>
      </c>
      <c r="S139" s="3" t="str">
        <f t="shared" si="20"/>
        <v>enero</v>
      </c>
      <c r="T139" s="21">
        <f t="shared" si="21"/>
        <v>506.09999999999997</v>
      </c>
      <c r="U139" s="21">
        <f t="shared" si="22"/>
        <v>495.59999999999997</v>
      </c>
      <c r="V139" s="21">
        <f t="shared" si="23"/>
        <v>547.04999999999995</v>
      </c>
      <c r="W139" s="21">
        <f>+Tabla4[[#This Row],[9KWA]]*350</f>
        <v>530.25</v>
      </c>
      <c r="X139" s="21">
        <f>350*Tabla4[[#This Row],[Max Factor Medido]]</f>
        <v>547.04999999999995</v>
      </c>
      <c r="Y139" s="39">
        <v>0.92</v>
      </c>
      <c r="Z139" s="3">
        <f t="shared" si="24"/>
        <v>2025</v>
      </c>
      <c r="AA139" s="74">
        <f>+MEDIAN(Tabla4[[#This Row],[kwreal 6]:[kwreal 9]])</f>
        <v>518.17499999999995</v>
      </c>
      <c r="AB139" s="74">
        <f>+Tabla4[[#This Row],[LineaBase-FD]]/350</f>
        <v>1.4804999999999999</v>
      </c>
    </row>
    <row r="140" spans="1:28" x14ac:dyDescent="0.3">
      <c r="A140" s="29">
        <v>65489</v>
      </c>
      <c r="B140" s="2">
        <v>24744</v>
      </c>
      <c r="C140" s="2">
        <v>8156</v>
      </c>
      <c r="D140" s="2">
        <v>29705</v>
      </c>
      <c r="E140" s="2">
        <v>2883</v>
      </c>
      <c r="F140" s="77">
        <v>1.446</v>
      </c>
      <c r="G140" s="77">
        <v>1.4159999999999999</v>
      </c>
      <c r="H140" s="77">
        <v>1.5629999999999999</v>
      </c>
      <c r="I140" s="77">
        <v>1.5149999999999999</v>
      </c>
      <c r="J140" s="2">
        <v>22196</v>
      </c>
      <c r="K140" s="9" t="s">
        <v>47</v>
      </c>
      <c r="L140" s="6">
        <f t="shared" si="16"/>
        <v>45686</v>
      </c>
      <c r="M140" s="2">
        <v>0.96</v>
      </c>
      <c r="N140" s="67">
        <v>1.1919999999999999</v>
      </c>
      <c r="O140" s="22">
        <f>+MAX(Tabla4[[#This Row],[6KWA]:[9KWA]])</f>
        <v>1.5629999999999999</v>
      </c>
      <c r="P140" s="3">
        <f t="shared" si="17"/>
        <v>29</v>
      </c>
      <c r="Q140" s="3">
        <f t="shared" si="18"/>
        <v>1</v>
      </c>
      <c r="R140" s="3">
        <f t="shared" si="19"/>
        <v>5</v>
      </c>
      <c r="S140" s="3" t="str">
        <f t="shared" si="20"/>
        <v>enero</v>
      </c>
      <c r="T140" s="21">
        <f t="shared" si="21"/>
        <v>506.09999999999997</v>
      </c>
      <c r="U140" s="21">
        <f t="shared" si="22"/>
        <v>495.59999999999997</v>
      </c>
      <c r="V140" s="21">
        <f t="shared" si="23"/>
        <v>547.04999999999995</v>
      </c>
      <c r="W140" s="21">
        <f>+Tabla4[[#This Row],[9KWA]]*350</f>
        <v>530.25</v>
      </c>
      <c r="X140" s="21">
        <f>350*Tabla4[[#This Row],[Max Factor Medido]]</f>
        <v>547.04999999999995</v>
      </c>
      <c r="Y140" s="39">
        <v>0.92</v>
      </c>
      <c r="Z140" s="3">
        <f t="shared" si="24"/>
        <v>2025</v>
      </c>
      <c r="AA140" s="74">
        <f>+MEDIAN(Tabla4[[#This Row],[kwreal 6]:[kwreal 9]])</f>
        <v>518.17499999999995</v>
      </c>
      <c r="AB140" s="74">
        <f>+Tabla4[[#This Row],[LineaBase-FD]]/350</f>
        <v>1.4804999999999999</v>
      </c>
    </row>
    <row r="141" spans="1:28" x14ac:dyDescent="0.3">
      <c r="A141" s="28">
        <v>65519</v>
      </c>
      <c r="B141" s="3">
        <v>24757</v>
      </c>
      <c r="C141" s="3">
        <v>8161</v>
      </c>
      <c r="D141" s="3">
        <v>29717</v>
      </c>
      <c r="E141" s="3">
        <v>2883</v>
      </c>
      <c r="F141" s="77">
        <v>1.446</v>
      </c>
      <c r="G141" s="77">
        <v>1.4159999999999999</v>
      </c>
      <c r="H141" s="77">
        <v>1.5629999999999999</v>
      </c>
      <c r="I141" s="77">
        <v>1.5149999999999999</v>
      </c>
      <c r="J141" s="3">
        <v>22204</v>
      </c>
      <c r="K141" s="10" t="s">
        <v>181</v>
      </c>
      <c r="L141" s="5">
        <v>45687</v>
      </c>
      <c r="M141" s="3">
        <v>0.96</v>
      </c>
      <c r="N141" s="67">
        <v>1.0860000000000001</v>
      </c>
      <c r="O141" s="22">
        <f>+MAX(Tabla4[[#This Row],[6KWA]:[9KWA]])</f>
        <v>1.5629999999999999</v>
      </c>
      <c r="P141" s="3">
        <f t="shared" si="17"/>
        <v>30</v>
      </c>
      <c r="Q141" s="3">
        <f t="shared" si="18"/>
        <v>1</v>
      </c>
      <c r="R141" s="3">
        <f t="shared" si="19"/>
        <v>5</v>
      </c>
      <c r="S141" s="3" t="str">
        <f t="shared" si="20"/>
        <v>enero</v>
      </c>
      <c r="T141" s="21">
        <f t="shared" si="21"/>
        <v>506.09999999999997</v>
      </c>
      <c r="U141" s="21">
        <f t="shared" si="22"/>
        <v>495.59999999999997</v>
      </c>
      <c r="V141" s="21">
        <f t="shared" si="23"/>
        <v>547.04999999999995</v>
      </c>
      <c r="W141" s="21">
        <f>+Tabla4[[#This Row],[9KWA]]*350</f>
        <v>530.25</v>
      </c>
      <c r="X141" s="21">
        <f>350*Tabla4[[#This Row],[Max Factor Medido]]</f>
        <v>547.04999999999995</v>
      </c>
      <c r="Y141" s="39">
        <v>0.92</v>
      </c>
      <c r="Z141" s="3">
        <f t="shared" si="24"/>
        <v>2025</v>
      </c>
      <c r="AA141" s="74">
        <f>+MEDIAN(Tabla4[[#This Row],[kwreal 6]:[kwreal 9]])</f>
        <v>518.17499999999995</v>
      </c>
      <c r="AB141" s="74">
        <f>+Tabla4[[#This Row],[LineaBase-FD]]/350</f>
        <v>1.4804999999999999</v>
      </c>
    </row>
    <row r="142" spans="1:28" x14ac:dyDescent="0.3">
      <c r="A142" s="28">
        <v>65548</v>
      </c>
      <c r="B142" s="3">
        <v>24770</v>
      </c>
      <c r="C142" s="3">
        <v>8166</v>
      </c>
      <c r="D142" s="3">
        <v>29729</v>
      </c>
      <c r="E142" s="3">
        <v>2883</v>
      </c>
      <c r="F142" s="77">
        <v>1.4630000000000001</v>
      </c>
      <c r="G142" s="77">
        <v>1.4159999999999999</v>
      </c>
      <c r="H142" s="77">
        <v>1.5629999999999999</v>
      </c>
      <c r="I142" s="77">
        <v>1.5149999999999999</v>
      </c>
      <c r="J142" s="3">
        <v>22212</v>
      </c>
      <c r="K142" s="10" t="s">
        <v>180</v>
      </c>
      <c r="L142" s="5">
        <v>45688</v>
      </c>
      <c r="M142" s="3">
        <v>0.97</v>
      </c>
      <c r="N142" s="67">
        <v>1.069</v>
      </c>
      <c r="O142" s="22">
        <f>+MAX(Tabla4[[#This Row],[6KWA]:[9KWA]])</f>
        <v>1.5629999999999999</v>
      </c>
      <c r="P142" s="3">
        <f t="shared" si="17"/>
        <v>31</v>
      </c>
      <c r="Q142" s="3">
        <f t="shared" si="18"/>
        <v>1</v>
      </c>
      <c r="R142" s="3">
        <f t="shared" si="19"/>
        <v>5</v>
      </c>
      <c r="S142" s="3" t="str">
        <f t="shared" si="20"/>
        <v>enero</v>
      </c>
      <c r="T142" s="21">
        <f t="shared" si="21"/>
        <v>512.05000000000007</v>
      </c>
      <c r="U142" s="21">
        <f t="shared" si="22"/>
        <v>495.59999999999997</v>
      </c>
      <c r="V142" s="21">
        <f t="shared" si="23"/>
        <v>547.04999999999995</v>
      </c>
      <c r="W142" s="21">
        <f>+Tabla4[[#This Row],[9KWA]]*350</f>
        <v>530.25</v>
      </c>
      <c r="X142" s="21">
        <f>350*Tabla4[[#This Row],[Max Factor Medido]]</f>
        <v>547.04999999999995</v>
      </c>
      <c r="Y142" s="39">
        <v>0.92</v>
      </c>
      <c r="Z142" s="3">
        <f t="shared" si="24"/>
        <v>2025</v>
      </c>
      <c r="AA142" s="74">
        <f>+MEDIAN(Tabla4[[#This Row],[kwreal 6]:[kwreal 9]])</f>
        <v>521.15000000000009</v>
      </c>
      <c r="AB142" s="74">
        <f>+Tabla4[[#This Row],[LineaBase-FD]]/350</f>
        <v>1.4890000000000003</v>
      </c>
    </row>
    <row r="143" spans="1:28" x14ac:dyDescent="0.3">
      <c r="A143" s="28">
        <v>65572</v>
      </c>
      <c r="B143" s="3">
        <v>24783</v>
      </c>
      <c r="C143" s="3">
        <v>8171</v>
      </c>
      <c r="D143" s="3">
        <v>29734</v>
      </c>
      <c r="E143" s="3">
        <v>2883</v>
      </c>
      <c r="F143" s="77">
        <v>1.4910000000000001</v>
      </c>
      <c r="G143" s="77">
        <v>1.488</v>
      </c>
      <c r="H143" s="77">
        <v>1.5629999999999999</v>
      </c>
      <c r="I143" s="77">
        <v>1.5149999999999999</v>
      </c>
      <c r="J143" s="3">
        <v>22220</v>
      </c>
      <c r="K143" s="10" t="s">
        <v>92</v>
      </c>
      <c r="L143" s="5">
        <v>45689</v>
      </c>
      <c r="M143" s="3">
        <v>0.9</v>
      </c>
      <c r="N143" s="22">
        <v>1.387</v>
      </c>
      <c r="O143" s="22">
        <f>+MAX(Tabla4[[#This Row],[6KWA]:[9KWA]])</f>
        <v>1.5629999999999999</v>
      </c>
      <c r="P143" s="3">
        <f t="shared" si="17"/>
        <v>1</v>
      </c>
      <c r="Q143" s="3">
        <f t="shared" si="18"/>
        <v>2</v>
      </c>
      <c r="R143" s="3">
        <f t="shared" si="19"/>
        <v>5</v>
      </c>
      <c r="S143" s="3" t="str">
        <f t="shared" si="20"/>
        <v>febrero</v>
      </c>
      <c r="T143" s="21">
        <f t="shared" si="21"/>
        <v>521.85</v>
      </c>
      <c r="U143" s="21">
        <f t="shared" si="22"/>
        <v>520.79999999999995</v>
      </c>
      <c r="V143" s="21">
        <f t="shared" si="23"/>
        <v>547.04999999999995</v>
      </c>
      <c r="W143" s="21">
        <f>+Tabla4[[#This Row],[9KWA]]*350</f>
        <v>530.25</v>
      </c>
      <c r="X143" s="21">
        <f>350*Tabla4[[#This Row],[Max Factor Medido]]</f>
        <v>547.04999999999995</v>
      </c>
      <c r="Y143" s="39">
        <v>0.92</v>
      </c>
      <c r="Z143" s="3">
        <f t="shared" si="24"/>
        <v>2025</v>
      </c>
      <c r="AA143" s="21">
        <f>+MEDIAN(Tabla4[[#This Row],[kwreal 6]:[kwreal 9]])</f>
        <v>526.04999999999995</v>
      </c>
      <c r="AB143" s="21">
        <f>+Tabla4[[#This Row],[LineaBase-FD]]/350</f>
        <v>1.5029999999999999</v>
      </c>
    </row>
    <row r="144" spans="1:28" x14ac:dyDescent="0.3">
      <c r="A144" s="28">
        <v>65596</v>
      </c>
      <c r="B144" s="3">
        <v>24796</v>
      </c>
      <c r="C144" s="3">
        <v>8176</v>
      </c>
      <c r="D144" s="3">
        <v>29740</v>
      </c>
      <c r="E144" s="3">
        <v>2883</v>
      </c>
      <c r="F144" s="77">
        <v>1.4910000000000001</v>
      </c>
      <c r="G144" s="77">
        <v>1.488</v>
      </c>
      <c r="H144" s="77">
        <v>1.5629999999999999</v>
      </c>
      <c r="I144" s="77">
        <v>1.5149999999999999</v>
      </c>
      <c r="J144" s="3">
        <v>22227</v>
      </c>
      <c r="K144" s="10" t="s">
        <v>28</v>
      </c>
      <c r="L144" s="5">
        <f t="shared" si="16"/>
        <v>45690</v>
      </c>
      <c r="M144" s="3">
        <v>0.9</v>
      </c>
      <c r="N144" s="22">
        <v>1.1299999999999999</v>
      </c>
      <c r="O144" s="22">
        <f>+MAX(Tabla4[[#This Row],[6KWA]:[9KWA]])</f>
        <v>1.5629999999999999</v>
      </c>
      <c r="P144" s="3">
        <f t="shared" si="17"/>
        <v>2</v>
      </c>
      <c r="Q144" s="3">
        <f t="shared" si="18"/>
        <v>2</v>
      </c>
      <c r="R144" s="3">
        <f t="shared" si="19"/>
        <v>6</v>
      </c>
      <c r="S144" s="3" t="str">
        <f t="shared" si="20"/>
        <v>febrero</v>
      </c>
      <c r="T144" s="21">
        <f t="shared" si="21"/>
        <v>521.85</v>
      </c>
      <c r="U144" s="21">
        <f t="shared" si="22"/>
        <v>520.79999999999995</v>
      </c>
      <c r="V144" s="21">
        <f t="shared" si="23"/>
        <v>547.04999999999995</v>
      </c>
      <c r="W144" s="21">
        <f>+Tabla4[[#This Row],[9KWA]]*350</f>
        <v>530.25</v>
      </c>
      <c r="X144" s="21">
        <f>350*Tabla4[[#This Row],[Max Factor Medido]]</f>
        <v>547.04999999999995</v>
      </c>
      <c r="Y144" s="39">
        <v>0.92</v>
      </c>
      <c r="Z144" s="3">
        <f t="shared" si="24"/>
        <v>2025</v>
      </c>
      <c r="AA144" s="21">
        <f>+MEDIAN(Tabla4[[#This Row],[kwreal 6]:[kwreal 9]])</f>
        <v>526.04999999999995</v>
      </c>
      <c r="AB144" s="21">
        <f>+Tabla4[[#This Row],[LineaBase-FD]]/350</f>
        <v>1.5029999999999999</v>
      </c>
    </row>
    <row r="145" spans="1:28" x14ac:dyDescent="0.3">
      <c r="A145" s="28">
        <v>65619</v>
      </c>
      <c r="B145" s="3">
        <v>24809</v>
      </c>
      <c r="C145" s="3">
        <v>8181</v>
      </c>
      <c r="D145" s="3">
        <v>29745</v>
      </c>
      <c r="E145" s="3">
        <v>2883</v>
      </c>
      <c r="F145" s="77">
        <v>1.4910000000000001</v>
      </c>
      <c r="G145" s="77">
        <v>1.488</v>
      </c>
      <c r="H145" s="77">
        <v>1.5629999999999999</v>
      </c>
      <c r="I145" s="77">
        <v>1.5149999999999999</v>
      </c>
      <c r="J145" s="3">
        <v>22236</v>
      </c>
      <c r="K145" s="10" t="s">
        <v>177</v>
      </c>
      <c r="L145" s="5">
        <f t="shared" si="16"/>
        <v>45691</v>
      </c>
      <c r="M145" s="3">
        <v>0.94</v>
      </c>
      <c r="N145" s="22">
        <v>1.2529999999999999</v>
      </c>
      <c r="O145" s="22">
        <f>+MAX(Tabla4[[#This Row],[6KWA]:[9KWA]])</f>
        <v>1.5629999999999999</v>
      </c>
      <c r="P145" s="3">
        <f t="shared" si="17"/>
        <v>3</v>
      </c>
      <c r="Q145" s="3">
        <f t="shared" si="18"/>
        <v>2</v>
      </c>
      <c r="R145" s="3">
        <f t="shared" si="19"/>
        <v>6</v>
      </c>
      <c r="S145" s="3" t="str">
        <f t="shared" si="20"/>
        <v>febrero</v>
      </c>
      <c r="T145" s="21">
        <f t="shared" si="21"/>
        <v>521.85</v>
      </c>
      <c r="U145" s="21">
        <f t="shared" si="22"/>
        <v>520.79999999999995</v>
      </c>
      <c r="V145" s="21">
        <f t="shared" si="23"/>
        <v>547.04999999999995</v>
      </c>
      <c r="W145" s="21">
        <f>+Tabla4[[#This Row],[9KWA]]*350</f>
        <v>530.25</v>
      </c>
      <c r="X145" s="21">
        <f>350*Tabla4[[#This Row],[Max Factor Medido]]</f>
        <v>547.04999999999995</v>
      </c>
      <c r="Y145" s="39">
        <v>0.92</v>
      </c>
      <c r="Z145" s="3">
        <f t="shared" si="24"/>
        <v>2025</v>
      </c>
      <c r="AA145" s="21">
        <f>+MEDIAN(Tabla4[[#This Row],[kwreal 6]:[kwreal 9]])</f>
        <v>526.04999999999995</v>
      </c>
      <c r="AB145" s="21">
        <f>+Tabla4[[#This Row],[LineaBase-FD]]/350</f>
        <v>1.5029999999999999</v>
      </c>
    </row>
    <row r="146" spans="1:28" x14ac:dyDescent="0.3">
      <c r="A146" s="28">
        <v>65649</v>
      </c>
      <c r="B146" s="3">
        <v>24809</v>
      </c>
      <c r="C146" s="3">
        <v>8181</v>
      </c>
      <c r="D146" s="3">
        <v>29770</v>
      </c>
      <c r="E146" s="3">
        <v>2888</v>
      </c>
      <c r="F146" s="77">
        <v>1.4910000000000001</v>
      </c>
      <c r="G146" s="77">
        <v>1.488</v>
      </c>
      <c r="H146" s="77">
        <v>1.5629999999999999</v>
      </c>
      <c r="I146" s="77">
        <v>1.5149999999999999</v>
      </c>
      <c r="J146" s="3">
        <v>22250</v>
      </c>
      <c r="K146" s="10" t="s">
        <v>33</v>
      </c>
      <c r="L146" s="5">
        <f t="shared" si="16"/>
        <v>45692</v>
      </c>
      <c r="M146" s="3">
        <v>0.89</v>
      </c>
      <c r="N146" s="22">
        <v>1.206</v>
      </c>
      <c r="O146" s="22">
        <f>+MAX(Tabla4[[#This Row],[6KWA]:[9KWA]])</f>
        <v>1.5629999999999999</v>
      </c>
      <c r="P146" s="3">
        <f t="shared" si="17"/>
        <v>4</v>
      </c>
      <c r="Q146" s="3">
        <f t="shared" si="18"/>
        <v>2</v>
      </c>
      <c r="R146" s="3">
        <f t="shared" si="19"/>
        <v>6</v>
      </c>
      <c r="S146" s="3" t="str">
        <f t="shared" si="20"/>
        <v>febrero</v>
      </c>
      <c r="T146" s="21">
        <f t="shared" si="21"/>
        <v>521.85</v>
      </c>
      <c r="U146" s="21">
        <f t="shared" si="22"/>
        <v>520.79999999999995</v>
      </c>
      <c r="V146" s="21">
        <f t="shared" si="23"/>
        <v>547.04999999999995</v>
      </c>
      <c r="W146" s="21">
        <f>+Tabla4[[#This Row],[9KWA]]*350</f>
        <v>530.25</v>
      </c>
      <c r="X146" s="21">
        <f>350*Tabla4[[#This Row],[Max Factor Medido]]</f>
        <v>547.04999999999995</v>
      </c>
      <c r="Y146" s="39">
        <v>0.92</v>
      </c>
      <c r="Z146" s="3">
        <f t="shared" si="24"/>
        <v>2025</v>
      </c>
      <c r="AA146" s="21">
        <f>+MEDIAN(Tabla4[[#This Row],[kwreal 6]:[kwreal 9]])</f>
        <v>526.04999999999995</v>
      </c>
      <c r="AB146" s="21">
        <f>+Tabla4[[#This Row],[LineaBase-FD]]/350</f>
        <v>1.5029999999999999</v>
      </c>
    </row>
    <row r="147" spans="1:28" x14ac:dyDescent="0.3">
      <c r="A147" s="28">
        <v>65679</v>
      </c>
      <c r="B147" s="3">
        <v>24809</v>
      </c>
      <c r="C147" s="3">
        <v>8181</v>
      </c>
      <c r="D147" s="3">
        <v>29795</v>
      </c>
      <c r="E147" s="3">
        <v>2893</v>
      </c>
      <c r="F147" s="77">
        <v>1.4910000000000001</v>
      </c>
      <c r="G147" s="77">
        <v>1.488</v>
      </c>
      <c r="H147" s="77">
        <v>1.5629999999999999</v>
      </c>
      <c r="I147" s="77">
        <v>1.5149999999999999</v>
      </c>
      <c r="J147" s="3">
        <v>22259</v>
      </c>
      <c r="K147" s="10" t="s">
        <v>84</v>
      </c>
      <c r="L147" s="5">
        <f t="shared" si="16"/>
        <v>45693</v>
      </c>
      <c r="M147" s="3">
        <v>0.99</v>
      </c>
      <c r="N147" s="22">
        <v>1.042</v>
      </c>
      <c r="O147" s="22">
        <f>+MAX(Tabla4[[#This Row],[6KWA]:[9KWA]])</f>
        <v>1.5629999999999999</v>
      </c>
      <c r="P147" s="3">
        <f t="shared" si="17"/>
        <v>5</v>
      </c>
      <c r="Q147" s="3">
        <f t="shared" si="18"/>
        <v>2</v>
      </c>
      <c r="R147" s="3">
        <f t="shared" si="19"/>
        <v>6</v>
      </c>
      <c r="S147" s="3" t="str">
        <f t="shared" si="20"/>
        <v>febrero</v>
      </c>
      <c r="T147" s="21">
        <f t="shared" si="21"/>
        <v>521.85</v>
      </c>
      <c r="U147" s="21">
        <f t="shared" si="22"/>
        <v>520.79999999999995</v>
      </c>
      <c r="V147" s="21">
        <f t="shared" si="23"/>
        <v>547.04999999999995</v>
      </c>
      <c r="W147" s="21">
        <f>+Tabla4[[#This Row],[9KWA]]*350</f>
        <v>530.25</v>
      </c>
      <c r="X147" s="21">
        <f>350*Tabla4[[#This Row],[Max Factor Medido]]</f>
        <v>547.04999999999995</v>
      </c>
      <c r="Y147" s="39">
        <v>0.92</v>
      </c>
      <c r="Z147" s="3">
        <f t="shared" si="24"/>
        <v>2025</v>
      </c>
      <c r="AA147" s="21">
        <f>+MEDIAN(Tabla4[[#This Row],[kwreal 6]:[kwreal 9]])</f>
        <v>526.04999999999995</v>
      </c>
      <c r="AB147" s="21">
        <f>+Tabla4[[#This Row],[LineaBase-FD]]/350</f>
        <v>1.5029999999999999</v>
      </c>
    </row>
    <row r="148" spans="1:28" x14ac:dyDescent="0.3">
      <c r="A148" s="28">
        <v>65709</v>
      </c>
      <c r="B148" s="3">
        <v>24822</v>
      </c>
      <c r="C148" s="3">
        <v>8186</v>
      </c>
      <c r="D148" s="3">
        <v>29807</v>
      </c>
      <c r="E148" s="3">
        <v>2893</v>
      </c>
      <c r="F148" s="77">
        <v>1.4910000000000001</v>
      </c>
      <c r="G148" s="77">
        <v>1.512</v>
      </c>
      <c r="H148" s="77">
        <v>1.5629999999999999</v>
      </c>
      <c r="I148" s="77">
        <v>1.5149999999999999</v>
      </c>
      <c r="J148" s="3">
        <v>22267</v>
      </c>
      <c r="K148" s="10" t="s">
        <v>180</v>
      </c>
      <c r="L148" s="5">
        <f t="shared" si="16"/>
        <v>45694</v>
      </c>
      <c r="M148" s="3">
        <v>0.96</v>
      </c>
      <c r="N148" s="22">
        <v>1.1919999999999999</v>
      </c>
      <c r="O148" s="22">
        <f>+MAX(Tabla4[[#This Row],[6KWA]:[9KWA]])</f>
        <v>1.5629999999999999</v>
      </c>
      <c r="P148" s="3">
        <f t="shared" si="17"/>
        <v>6</v>
      </c>
      <c r="Q148" s="3">
        <f t="shared" si="18"/>
        <v>2</v>
      </c>
      <c r="R148" s="3">
        <f t="shared" si="19"/>
        <v>6</v>
      </c>
      <c r="S148" s="3" t="str">
        <f t="shared" si="20"/>
        <v>febrero</v>
      </c>
      <c r="T148" s="21">
        <f t="shared" si="21"/>
        <v>521.85</v>
      </c>
      <c r="U148" s="21">
        <f t="shared" si="22"/>
        <v>529.20000000000005</v>
      </c>
      <c r="V148" s="21">
        <f t="shared" si="23"/>
        <v>547.04999999999995</v>
      </c>
      <c r="W148" s="21">
        <f>+Tabla4[[#This Row],[9KWA]]*350</f>
        <v>530.25</v>
      </c>
      <c r="X148" s="21">
        <f>350*Tabla4[[#This Row],[Max Factor Medido]]</f>
        <v>547.04999999999995</v>
      </c>
      <c r="Y148" s="39">
        <v>0.92</v>
      </c>
      <c r="Z148" s="3">
        <f t="shared" si="24"/>
        <v>2025</v>
      </c>
      <c r="AA148" s="21">
        <f>+MEDIAN(Tabla4[[#This Row],[kwreal 6]:[kwreal 9]])</f>
        <v>529.72500000000002</v>
      </c>
      <c r="AB148" s="21">
        <f>+Tabla4[[#This Row],[LineaBase-FD]]/350</f>
        <v>1.5135000000000001</v>
      </c>
    </row>
    <row r="149" spans="1:28" x14ac:dyDescent="0.3">
      <c r="A149" s="28">
        <v>65738</v>
      </c>
      <c r="B149" s="3">
        <v>24835</v>
      </c>
      <c r="C149" s="3">
        <v>8191</v>
      </c>
      <c r="D149" s="3">
        <v>29819</v>
      </c>
      <c r="E149" s="3">
        <v>2893</v>
      </c>
      <c r="F149" s="77">
        <v>1.4910000000000001</v>
      </c>
      <c r="G149" s="77">
        <v>1.512</v>
      </c>
      <c r="H149" s="77">
        <v>1.5629999999999999</v>
      </c>
      <c r="I149" s="77">
        <v>1.5149999999999999</v>
      </c>
      <c r="J149" s="3">
        <v>22275</v>
      </c>
      <c r="K149" s="10" t="s">
        <v>182</v>
      </c>
      <c r="L149" s="5">
        <f t="shared" si="16"/>
        <v>45695</v>
      </c>
      <c r="M149" s="3">
        <v>0.97</v>
      </c>
      <c r="N149" s="22">
        <v>1.077</v>
      </c>
      <c r="O149" s="22">
        <f>+MAX(Tabla4[[#This Row],[6KWA]:[9KWA]])</f>
        <v>1.5629999999999999</v>
      </c>
      <c r="P149" s="3">
        <f t="shared" si="17"/>
        <v>7</v>
      </c>
      <c r="Q149" s="3">
        <f t="shared" si="18"/>
        <v>2</v>
      </c>
      <c r="R149" s="3">
        <f t="shared" si="19"/>
        <v>6</v>
      </c>
      <c r="S149" s="3" t="str">
        <f t="shared" si="20"/>
        <v>febrero</v>
      </c>
      <c r="T149" s="21">
        <f t="shared" si="21"/>
        <v>521.85</v>
      </c>
      <c r="U149" s="21">
        <f t="shared" si="22"/>
        <v>529.20000000000005</v>
      </c>
      <c r="V149" s="21">
        <f t="shared" si="23"/>
        <v>547.04999999999995</v>
      </c>
      <c r="W149" s="21">
        <f>+Tabla4[[#This Row],[9KWA]]*350</f>
        <v>530.25</v>
      </c>
      <c r="X149" s="21">
        <f>350*Tabla4[[#This Row],[Max Factor Medido]]</f>
        <v>547.04999999999995</v>
      </c>
      <c r="Y149" s="39">
        <v>0.92</v>
      </c>
      <c r="Z149" s="3">
        <f t="shared" si="24"/>
        <v>2025</v>
      </c>
      <c r="AA149" s="21">
        <f>+MEDIAN(Tabla4[[#This Row],[kwreal 6]:[kwreal 9]])</f>
        <v>529.72500000000002</v>
      </c>
      <c r="AB149" s="21">
        <f>+Tabla4[[#This Row],[LineaBase-FD]]/350</f>
        <v>1.5135000000000001</v>
      </c>
    </row>
    <row r="150" spans="1:28" x14ac:dyDescent="0.3">
      <c r="A150" s="28">
        <v>65768</v>
      </c>
      <c r="B150" s="3">
        <v>24848</v>
      </c>
      <c r="C150" s="3">
        <v>8196</v>
      </c>
      <c r="D150" s="3">
        <v>29830</v>
      </c>
      <c r="E150" s="3">
        <v>2893</v>
      </c>
      <c r="F150" s="77">
        <v>1.4950000000000001</v>
      </c>
      <c r="G150" s="77">
        <v>1.512</v>
      </c>
      <c r="H150" s="77">
        <v>1.5629999999999999</v>
      </c>
      <c r="I150" s="77">
        <v>1.5149999999999999</v>
      </c>
      <c r="J150" s="3">
        <v>22283</v>
      </c>
      <c r="K150" s="10" t="s">
        <v>30</v>
      </c>
      <c r="L150" s="5">
        <f t="shared" si="16"/>
        <v>45696</v>
      </c>
      <c r="M150" s="3">
        <v>0.96</v>
      </c>
      <c r="N150" s="22">
        <v>1.1459999999999999</v>
      </c>
      <c r="O150" s="22">
        <f>+MAX(Tabla4[[#This Row],[6KWA]:[9KWA]])</f>
        <v>1.5629999999999999</v>
      </c>
      <c r="P150" s="3">
        <f t="shared" si="17"/>
        <v>8</v>
      </c>
      <c r="Q150" s="3">
        <f t="shared" si="18"/>
        <v>2</v>
      </c>
      <c r="R150" s="3">
        <f t="shared" si="19"/>
        <v>6</v>
      </c>
      <c r="S150" s="3" t="str">
        <f t="shared" si="20"/>
        <v>febrero</v>
      </c>
      <c r="T150" s="21">
        <f t="shared" si="21"/>
        <v>523.25</v>
      </c>
      <c r="U150" s="21">
        <f t="shared" si="22"/>
        <v>529.20000000000005</v>
      </c>
      <c r="V150" s="21">
        <f t="shared" si="23"/>
        <v>547.04999999999995</v>
      </c>
      <c r="W150" s="21">
        <f>+Tabla4[[#This Row],[9KWA]]*350</f>
        <v>530.25</v>
      </c>
      <c r="X150" s="21">
        <f>350*Tabla4[[#This Row],[Max Factor Medido]]</f>
        <v>547.04999999999995</v>
      </c>
      <c r="Y150" s="39">
        <v>0.92</v>
      </c>
      <c r="Z150" s="3">
        <f t="shared" si="24"/>
        <v>2025</v>
      </c>
      <c r="AA150" s="21">
        <f>+MEDIAN(Tabla4[[#This Row],[kwreal 6]:[kwreal 9]])</f>
        <v>529.72500000000002</v>
      </c>
      <c r="AB150" s="21">
        <f>+Tabla4[[#This Row],[LineaBase-FD]]/350</f>
        <v>1.5135000000000001</v>
      </c>
    </row>
    <row r="151" spans="1:28" x14ac:dyDescent="0.3">
      <c r="A151" s="28">
        <v>65797</v>
      </c>
      <c r="B151" s="3">
        <v>24861</v>
      </c>
      <c r="C151" s="3">
        <v>8201</v>
      </c>
      <c r="D151" s="3">
        <v>29842</v>
      </c>
      <c r="E151" s="3">
        <v>2893</v>
      </c>
      <c r="F151" s="77">
        <v>1.4950000000000001</v>
      </c>
      <c r="G151" s="77">
        <v>1.512</v>
      </c>
      <c r="H151" s="77">
        <v>1.5629999999999999</v>
      </c>
      <c r="I151" s="77">
        <v>1.5149999999999999</v>
      </c>
      <c r="J151" s="3">
        <v>22291</v>
      </c>
      <c r="K151" s="10" t="s">
        <v>28</v>
      </c>
      <c r="L151" s="5">
        <v>45697</v>
      </c>
      <c r="M151" s="3">
        <v>0.96</v>
      </c>
      <c r="N151" s="22">
        <v>1.1399999999999999</v>
      </c>
      <c r="O151" s="22">
        <f>+MAX(Tabla4[[#This Row],[6KWA]:[9KWA]])</f>
        <v>1.5629999999999999</v>
      </c>
      <c r="P151" s="3">
        <f t="shared" si="17"/>
        <v>9</v>
      </c>
      <c r="Q151" s="3">
        <f t="shared" si="18"/>
        <v>2</v>
      </c>
      <c r="R151" s="3">
        <f t="shared" si="19"/>
        <v>7</v>
      </c>
      <c r="S151" s="3" t="str">
        <f t="shared" si="20"/>
        <v>febrero</v>
      </c>
      <c r="T151" s="21">
        <f t="shared" si="21"/>
        <v>523.25</v>
      </c>
      <c r="U151" s="21">
        <f t="shared" si="22"/>
        <v>529.20000000000005</v>
      </c>
      <c r="V151" s="21">
        <f t="shared" si="23"/>
        <v>547.04999999999995</v>
      </c>
      <c r="W151" s="21">
        <f>+Tabla4[[#This Row],[9KWA]]*350</f>
        <v>530.25</v>
      </c>
      <c r="X151" s="21">
        <f>350*Tabla4[[#This Row],[Max Factor Medido]]</f>
        <v>547.04999999999995</v>
      </c>
      <c r="Y151" s="39">
        <v>0.92</v>
      </c>
      <c r="Z151" s="3">
        <f t="shared" si="24"/>
        <v>2025</v>
      </c>
      <c r="AA151" s="21">
        <f>+MEDIAN(Tabla4[[#This Row],[kwreal 6]:[kwreal 9]])</f>
        <v>529.72500000000002</v>
      </c>
      <c r="AB151" s="21">
        <f>+Tabla4[[#This Row],[LineaBase-FD]]/350</f>
        <v>1.5135000000000001</v>
      </c>
    </row>
    <row r="152" spans="1:28" x14ac:dyDescent="0.3">
      <c r="A152" s="28">
        <v>65827</v>
      </c>
      <c r="B152" s="3">
        <v>24873</v>
      </c>
      <c r="C152" s="3">
        <v>8206</v>
      </c>
      <c r="D152" s="3">
        <v>29854</v>
      </c>
      <c r="E152" s="3">
        <v>2893</v>
      </c>
      <c r="F152" s="77">
        <v>1.4950000000000001</v>
      </c>
      <c r="G152" s="77">
        <v>1.5</v>
      </c>
      <c r="H152" s="77">
        <v>1.5629999999999999</v>
      </c>
      <c r="I152" s="77">
        <v>1.5149999999999999</v>
      </c>
      <c r="J152" s="3">
        <v>2229</v>
      </c>
      <c r="K152" s="10" t="s">
        <v>31</v>
      </c>
      <c r="L152" s="5">
        <v>45698</v>
      </c>
      <c r="M152" s="3">
        <v>0.96</v>
      </c>
      <c r="N152" s="22">
        <v>1.6890000000000001</v>
      </c>
      <c r="O152" s="22">
        <f>+MAX(Tabla4[[#This Row],[6KWA]:[9KWA]])</f>
        <v>1.5629999999999999</v>
      </c>
      <c r="P152" s="3">
        <f t="shared" si="17"/>
        <v>10</v>
      </c>
      <c r="Q152" s="3">
        <f t="shared" si="18"/>
        <v>2</v>
      </c>
      <c r="R152" s="3">
        <f t="shared" si="19"/>
        <v>7</v>
      </c>
      <c r="S152" s="3" t="str">
        <f t="shared" si="20"/>
        <v>febrero</v>
      </c>
      <c r="T152" s="21">
        <f t="shared" si="21"/>
        <v>523.25</v>
      </c>
      <c r="U152" s="21">
        <f t="shared" si="22"/>
        <v>525</v>
      </c>
      <c r="V152" s="21">
        <f t="shared" si="23"/>
        <v>547.04999999999995</v>
      </c>
      <c r="W152" s="21">
        <f>+Tabla4[[#This Row],[9KWA]]*350</f>
        <v>530.25</v>
      </c>
      <c r="X152" s="21">
        <f>350*Tabla4[[#This Row],[Max Factor Medido]]</f>
        <v>547.04999999999995</v>
      </c>
      <c r="Y152" s="39">
        <v>0.92</v>
      </c>
      <c r="Z152" s="3">
        <f t="shared" si="24"/>
        <v>2025</v>
      </c>
      <c r="AA152" s="21">
        <f>+MEDIAN(Tabla4[[#This Row],[kwreal 6]:[kwreal 9]])</f>
        <v>527.625</v>
      </c>
      <c r="AB152" s="21">
        <f>+Tabla4[[#This Row],[LineaBase-FD]]/350</f>
        <v>1.5075000000000001</v>
      </c>
    </row>
    <row r="153" spans="1:28" x14ac:dyDescent="0.3">
      <c r="A153" s="28">
        <v>65856</v>
      </c>
      <c r="B153" s="3">
        <v>24873</v>
      </c>
      <c r="C153" s="3">
        <v>8206</v>
      </c>
      <c r="D153" s="3">
        <v>29878</v>
      </c>
      <c r="E153" s="3">
        <v>2898</v>
      </c>
      <c r="F153" s="77">
        <v>0</v>
      </c>
      <c r="G153" s="77">
        <v>0</v>
      </c>
      <c r="H153" s="77">
        <v>1.274</v>
      </c>
      <c r="I153" s="77">
        <v>0</v>
      </c>
      <c r="J153" s="3">
        <v>22307</v>
      </c>
      <c r="K153" s="10">
        <v>0.2951388888888889</v>
      </c>
      <c r="L153" s="5">
        <v>45782</v>
      </c>
      <c r="M153" s="3">
        <v>0.94</v>
      </c>
      <c r="N153" s="22">
        <v>1.0489999999999999</v>
      </c>
      <c r="O153" s="22">
        <f>+MAX(Tabla4[[#This Row],[6KWA]:[9KWA]])</f>
        <v>1.274</v>
      </c>
      <c r="P153" s="3">
        <f t="shared" si="17"/>
        <v>5</v>
      </c>
      <c r="Q153" s="3">
        <f t="shared" si="18"/>
        <v>5</v>
      </c>
      <c r="R153" s="3">
        <f t="shared" si="19"/>
        <v>19</v>
      </c>
      <c r="S153" s="3" t="str">
        <f t="shared" si="20"/>
        <v>mayo</v>
      </c>
      <c r="T153" s="21">
        <f t="shared" si="21"/>
        <v>0</v>
      </c>
      <c r="U153" s="21">
        <f t="shared" si="22"/>
        <v>0</v>
      </c>
      <c r="V153" s="21">
        <f t="shared" si="23"/>
        <v>445.90000000000003</v>
      </c>
      <c r="W153" s="21">
        <f>+Tabla4[[#This Row],[9KWA]]*350</f>
        <v>0</v>
      </c>
      <c r="X153" s="21">
        <f>350*Tabla4[[#This Row],[Max Factor Medido]]</f>
        <v>445.90000000000003</v>
      </c>
      <c r="Y153" s="39">
        <v>0.94</v>
      </c>
      <c r="Z153" s="3">
        <f t="shared" si="24"/>
        <v>2025</v>
      </c>
      <c r="AA153" s="21">
        <f>+MEDIAN(Tabla4[[#This Row],[kwreal 6]:[kwreal 9]])</f>
        <v>0</v>
      </c>
      <c r="AB153" s="21">
        <f>+Tabla4[[#This Row],[LineaBase-FD]]/350</f>
        <v>0</v>
      </c>
    </row>
    <row r="154" spans="1:28" x14ac:dyDescent="0.3">
      <c r="A154" s="29">
        <v>65887</v>
      </c>
      <c r="B154" s="2">
        <v>24874</v>
      </c>
      <c r="C154" s="2">
        <v>8206</v>
      </c>
      <c r="D154" s="2">
        <v>29903</v>
      </c>
      <c r="E154" s="2">
        <v>2903</v>
      </c>
      <c r="F154" s="77">
        <v>1.0549999999999999</v>
      </c>
      <c r="G154" s="77">
        <v>0</v>
      </c>
      <c r="H154" s="77">
        <v>1.506</v>
      </c>
      <c r="I154" s="77">
        <v>1.325</v>
      </c>
      <c r="J154" s="2">
        <v>22316</v>
      </c>
      <c r="K154" s="9">
        <v>0.34930555555555554</v>
      </c>
      <c r="L154" s="6">
        <f t="shared" ref="L154:L182" si="25">L153+1</f>
        <v>45783</v>
      </c>
      <c r="M154" s="2">
        <v>0.97</v>
      </c>
      <c r="N154" s="22">
        <v>1.1459999999999999</v>
      </c>
      <c r="O154" s="22">
        <f>+MAX(Tabla4[[#This Row],[6KWA]:[9KWA]])</f>
        <v>1.506</v>
      </c>
      <c r="P154" s="3">
        <f t="shared" si="17"/>
        <v>6</v>
      </c>
      <c r="Q154" s="3">
        <f t="shared" si="18"/>
        <v>5</v>
      </c>
      <c r="R154" s="3">
        <f t="shared" si="19"/>
        <v>19</v>
      </c>
      <c r="S154" s="3" t="str">
        <f t="shared" si="20"/>
        <v>mayo</v>
      </c>
      <c r="T154" s="21">
        <f t="shared" si="21"/>
        <v>369.25</v>
      </c>
      <c r="U154" s="21">
        <f t="shared" si="22"/>
        <v>0</v>
      </c>
      <c r="V154" s="21">
        <f t="shared" si="23"/>
        <v>527.1</v>
      </c>
      <c r="W154" s="21">
        <f>+Tabla4[[#This Row],[9KWA]]*350</f>
        <v>463.75</v>
      </c>
      <c r="X154" s="21">
        <f>350*Tabla4[[#This Row],[Max Factor Medido]]</f>
        <v>527.1</v>
      </c>
      <c r="Y154" s="39">
        <v>0.94</v>
      </c>
      <c r="Z154" s="3">
        <f t="shared" si="24"/>
        <v>2025</v>
      </c>
      <c r="AA154" s="21">
        <f>+MEDIAN(Tabla4[[#This Row],[kwreal 6]:[kwreal 9]])</f>
        <v>416.5</v>
      </c>
      <c r="AB154" s="21">
        <f>+Tabla4[[#This Row],[LineaBase-FD]]/350</f>
        <v>1.19</v>
      </c>
    </row>
    <row r="155" spans="1:28" x14ac:dyDescent="0.3">
      <c r="A155" s="28">
        <v>65915</v>
      </c>
      <c r="B155" s="3">
        <v>24886</v>
      </c>
      <c r="C155" s="3">
        <v>8211</v>
      </c>
      <c r="D155" s="3">
        <v>29914</v>
      </c>
      <c r="E155" s="3">
        <v>2903</v>
      </c>
      <c r="F155" s="77">
        <v>1.389</v>
      </c>
      <c r="G155" s="77">
        <v>1.359</v>
      </c>
      <c r="H155" s="77">
        <v>1.506</v>
      </c>
      <c r="I155" s="77">
        <v>1.3260000000000001</v>
      </c>
      <c r="J155" s="3">
        <v>22323</v>
      </c>
      <c r="K155" s="10">
        <v>0.32083333333333336</v>
      </c>
      <c r="L155" s="5">
        <f t="shared" si="25"/>
        <v>45784</v>
      </c>
      <c r="M155" s="3">
        <v>0.96</v>
      </c>
      <c r="N155" s="22">
        <v>1.1220000000000001</v>
      </c>
      <c r="O155" s="22">
        <f>+MAX(Tabla4[[#This Row],[6KWA]:[9KWA]])</f>
        <v>1.506</v>
      </c>
      <c r="P155" s="3">
        <f t="shared" si="17"/>
        <v>7</v>
      </c>
      <c r="Q155" s="3">
        <f t="shared" si="18"/>
        <v>5</v>
      </c>
      <c r="R155" s="3">
        <f t="shared" si="19"/>
        <v>19</v>
      </c>
      <c r="S155" s="3" t="str">
        <f t="shared" si="20"/>
        <v>mayo</v>
      </c>
      <c r="T155" s="21">
        <f t="shared" si="21"/>
        <v>486.15</v>
      </c>
      <c r="U155" s="21">
        <f t="shared" si="22"/>
        <v>475.65</v>
      </c>
      <c r="V155" s="21">
        <f t="shared" si="23"/>
        <v>527.1</v>
      </c>
      <c r="W155" s="21">
        <f>+Tabla4[[#This Row],[9KWA]]*350</f>
        <v>464.1</v>
      </c>
      <c r="X155" s="21">
        <f>350*Tabla4[[#This Row],[Max Factor Medido]]</f>
        <v>527.1</v>
      </c>
      <c r="Y155" s="39">
        <v>0.94</v>
      </c>
      <c r="Z155" s="3">
        <f t="shared" si="24"/>
        <v>2025</v>
      </c>
      <c r="AA155" s="21">
        <f>+MEDIAN(Tabla4[[#This Row],[kwreal 6]:[kwreal 9]])</f>
        <v>480.9</v>
      </c>
      <c r="AB155" s="21">
        <f>+Tabla4[[#This Row],[LineaBase-FD]]/350</f>
        <v>1.3739999999999999</v>
      </c>
    </row>
    <row r="156" spans="1:28" x14ac:dyDescent="0.3">
      <c r="A156" s="29">
        <v>65943</v>
      </c>
      <c r="B156" s="2">
        <v>24898</v>
      </c>
      <c r="C156" s="2">
        <v>8216</v>
      </c>
      <c r="D156" s="2">
        <v>29925</v>
      </c>
      <c r="E156" s="2">
        <v>2903</v>
      </c>
      <c r="F156" s="77">
        <v>1.4</v>
      </c>
      <c r="G156" s="77">
        <v>1.3979999999999999</v>
      </c>
      <c r="H156" s="77">
        <v>1.506</v>
      </c>
      <c r="I156" s="77">
        <v>1.3260000000000001</v>
      </c>
      <c r="J156" s="2">
        <v>22331</v>
      </c>
      <c r="K156" s="9">
        <v>0.29305555555555557</v>
      </c>
      <c r="L156" s="6">
        <f t="shared" si="25"/>
        <v>45785</v>
      </c>
      <c r="M156" s="2">
        <v>0.97</v>
      </c>
      <c r="N156" s="22">
        <v>1.103</v>
      </c>
      <c r="O156" s="22">
        <f>+MAX(Tabla4[[#This Row],[6KWA]:[9KWA]])</f>
        <v>1.506</v>
      </c>
      <c r="P156" s="3">
        <f t="shared" si="17"/>
        <v>8</v>
      </c>
      <c r="Q156" s="3">
        <f t="shared" si="18"/>
        <v>5</v>
      </c>
      <c r="R156" s="3">
        <f t="shared" si="19"/>
        <v>19</v>
      </c>
      <c r="S156" s="3" t="str">
        <f t="shared" si="20"/>
        <v>mayo</v>
      </c>
      <c r="T156" s="21">
        <f t="shared" si="21"/>
        <v>489.99999999999994</v>
      </c>
      <c r="U156" s="21">
        <f t="shared" si="22"/>
        <v>489.29999999999995</v>
      </c>
      <c r="V156" s="21">
        <f t="shared" si="23"/>
        <v>527.1</v>
      </c>
      <c r="W156" s="21">
        <f>+Tabla4[[#This Row],[9KWA]]*350</f>
        <v>464.1</v>
      </c>
      <c r="X156" s="21">
        <f>350*Tabla4[[#This Row],[Max Factor Medido]]</f>
        <v>527.1</v>
      </c>
      <c r="Y156" s="39">
        <v>0.94</v>
      </c>
      <c r="Z156" s="3">
        <f t="shared" si="24"/>
        <v>2025</v>
      </c>
      <c r="AA156" s="21">
        <f>+MEDIAN(Tabla4[[#This Row],[kwreal 6]:[kwreal 9]])</f>
        <v>489.65</v>
      </c>
      <c r="AB156" s="21">
        <f>+Tabla4[[#This Row],[LineaBase-FD]]/350</f>
        <v>1.399</v>
      </c>
    </row>
    <row r="157" spans="1:28" x14ac:dyDescent="0.3">
      <c r="A157" s="29">
        <v>65972</v>
      </c>
      <c r="B157" s="2">
        <v>24910</v>
      </c>
      <c r="C157" s="2">
        <v>8221</v>
      </c>
      <c r="D157" s="2">
        <v>29936</v>
      </c>
      <c r="E157" s="2">
        <v>2903</v>
      </c>
      <c r="F157" s="77">
        <v>1.4</v>
      </c>
      <c r="G157" s="77">
        <v>1.3979999999999999</v>
      </c>
      <c r="H157" s="77">
        <v>1.506</v>
      </c>
      <c r="I157" s="77">
        <v>1.3260000000000001</v>
      </c>
      <c r="J157" s="2">
        <v>22339</v>
      </c>
      <c r="K157" s="9">
        <v>0.29305555555555557</v>
      </c>
      <c r="L157" s="6">
        <f t="shared" si="25"/>
        <v>45786</v>
      </c>
      <c r="M157" s="2">
        <v>0.96</v>
      </c>
      <c r="N157" s="22">
        <v>1.1459999999999999</v>
      </c>
      <c r="O157" s="22">
        <f>+MAX(Tabla4[[#This Row],[6KWA]:[9KWA]])</f>
        <v>1.506</v>
      </c>
      <c r="P157" s="3">
        <f t="shared" si="17"/>
        <v>9</v>
      </c>
      <c r="Q157" s="3">
        <f t="shared" si="18"/>
        <v>5</v>
      </c>
      <c r="R157" s="3">
        <f t="shared" si="19"/>
        <v>19</v>
      </c>
      <c r="S157" s="3" t="str">
        <f t="shared" si="20"/>
        <v>mayo</v>
      </c>
      <c r="T157" s="21">
        <f t="shared" si="21"/>
        <v>489.99999999999994</v>
      </c>
      <c r="U157" s="21">
        <f t="shared" si="22"/>
        <v>489.29999999999995</v>
      </c>
      <c r="V157" s="21">
        <f t="shared" si="23"/>
        <v>527.1</v>
      </c>
      <c r="W157" s="21">
        <f>+Tabla4[[#This Row],[9KWA]]*350</f>
        <v>464.1</v>
      </c>
      <c r="X157" s="21">
        <f>350*Tabla4[[#This Row],[Max Factor Medido]]</f>
        <v>527.1</v>
      </c>
      <c r="Y157" s="39">
        <v>0.94</v>
      </c>
      <c r="Z157" s="3">
        <f t="shared" si="24"/>
        <v>2025</v>
      </c>
      <c r="AA157" s="21">
        <f>+MEDIAN(Tabla4[[#This Row],[kwreal 6]:[kwreal 9]])</f>
        <v>489.65</v>
      </c>
      <c r="AB157" s="21">
        <f>+Tabla4[[#This Row],[LineaBase-FD]]/350</f>
        <v>1.399</v>
      </c>
    </row>
    <row r="158" spans="1:28" x14ac:dyDescent="0.3">
      <c r="A158" s="28">
        <v>66001</v>
      </c>
      <c r="B158" s="3">
        <v>24922</v>
      </c>
      <c r="C158" s="3">
        <v>8226</v>
      </c>
      <c r="D158" s="3">
        <v>29948</v>
      </c>
      <c r="E158" s="3">
        <v>2903</v>
      </c>
      <c r="F158" s="77">
        <v>1.419</v>
      </c>
      <c r="G158" s="77">
        <v>1.3979999999999999</v>
      </c>
      <c r="H158" s="77">
        <v>1.506</v>
      </c>
      <c r="I158" s="77">
        <v>1.3260000000000001</v>
      </c>
      <c r="J158" s="3">
        <v>22347</v>
      </c>
      <c r="K158" s="10">
        <v>0.30555555555555558</v>
      </c>
      <c r="L158" s="5">
        <f t="shared" si="25"/>
        <v>45787</v>
      </c>
      <c r="M158" s="2">
        <v>0.96</v>
      </c>
      <c r="N158" s="22">
        <v>1.0329999999999999</v>
      </c>
      <c r="O158" s="22">
        <f>+MAX(Tabla4[[#This Row],[6KWA]:[9KWA]])</f>
        <v>1.506</v>
      </c>
      <c r="P158" s="3">
        <f t="shared" si="17"/>
        <v>10</v>
      </c>
      <c r="Q158" s="3">
        <f t="shared" si="18"/>
        <v>5</v>
      </c>
      <c r="R158" s="3">
        <f t="shared" si="19"/>
        <v>19</v>
      </c>
      <c r="S158" s="3" t="str">
        <f t="shared" si="20"/>
        <v>mayo</v>
      </c>
      <c r="T158" s="21">
        <f t="shared" si="21"/>
        <v>496.65000000000003</v>
      </c>
      <c r="U158" s="21">
        <f t="shared" si="22"/>
        <v>489.29999999999995</v>
      </c>
      <c r="V158" s="21">
        <f t="shared" si="23"/>
        <v>527.1</v>
      </c>
      <c r="W158" s="21">
        <f>+Tabla4[[#This Row],[9KWA]]*350</f>
        <v>464.1</v>
      </c>
      <c r="X158" s="21">
        <f>350*Tabla4[[#This Row],[Max Factor Medido]]</f>
        <v>527.1</v>
      </c>
      <c r="Y158" s="39">
        <v>0.94</v>
      </c>
      <c r="Z158" s="3">
        <f t="shared" si="24"/>
        <v>2025</v>
      </c>
      <c r="AA158" s="21">
        <f>+MEDIAN(Tabla4[[#This Row],[kwreal 6]:[kwreal 9]])</f>
        <v>492.97500000000002</v>
      </c>
      <c r="AB158" s="21">
        <f>+Tabla4[[#This Row],[LineaBase-FD]]/350</f>
        <v>1.4085000000000001</v>
      </c>
    </row>
    <row r="159" spans="1:28" x14ac:dyDescent="0.3">
      <c r="A159" s="28">
        <v>66029</v>
      </c>
      <c r="B159" s="3">
        <v>24935</v>
      </c>
      <c r="C159" s="3">
        <v>8231</v>
      </c>
      <c r="D159" s="3">
        <v>29960</v>
      </c>
      <c r="E159" s="3">
        <v>2903</v>
      </c>
      <c r="F159" s="77">
        <v>1.419</v>
      </c>
      <c r="G159" s="77">
        <v>1.3979999999999999</v>
      </c>
      <c r="H159" s="77">
        <v>1.506</v>
      </c>
      <c r="I159" s="77">
        <v>1.3260000000000001</v>
      </c>
      <c r="J159" s="3">
        <v>22354</v>
      </c>
      <c r="K159" s="10">
        <v>0.3125</v>
      </c>
      <c r="L159" s="5">
        <f t="shared" si="25"/>
        <v>45788</v>
      </c>
      <c r="M159" s="3">
        <v>0.96</v>
      </c>
      <c r="N159" s="22">
        <v>1.2290000000000001</v>
      </c>
      <c r="O159" s="22">
        <f>+MAX(Tabla4[[#This Row],[6KWA]:[9KWA]])</f>
        <v>1.506</v>
      </c>
      <c r="P159" s="3">
        <f t="shared" si="17"/>
        <v>11</v>
      </c>
      <c r="Q159" s="3">
        <f t="shared" si="18"/>
        <v>5</v>
      </c>
      <c r="R159" s="3">
        <f t="shared" si="19"/>
        <v>20</v>
      </c>
      <c r="S159" s="3" t="str">
        <f t="shared" si="20"/>
        <v>mayo</v>
      </c>
      <c r="T159" s="21">
        <f t="shared" si="21"/>
        <v>496.65000000000003</v>
      </c>
      <c r="U159" s="21">
        <f t="shared" si="22"/>
        <v>489.29999999999995</v>
      </c>
      <c r="V159" s="21">
        <f t="shared" si="23"/>
        <v>527.1</v>
      </c>
      <c r="W159" s="21">
        <f>+Tabla4[[#This Row],[9KWA]]*350</f>
        <v>464.1</v>
      </c>
      <c r="X159" s="21">
        <f>350*Tabla4[[#This Row],[Max Factor Medido]]</f>
        <v>527.1</v>
      </c>
      <c r="Y159" s="39">
        <v>0.94</v>
      </c>
      <c r="Z159" s="3">
        <f t="shared" si="24"/>
        <v>2025</v>
      </c>
      <c r="AA159" s="21">
        <f>+MEDIAN(Tabla4[[#This Row],[kwreal 6]:[kwreal 9]])</f>
        <v>492.97500000000002</v>
      </c>
      <c r="AB159" s="21">
        <f>+Tabla4[[#This Row],[LineaBase-FD]]/350</f>
        <v>1.4085000000000001</v>
      </c>
    </row>
    <row r="160" spans="1:28" x14ac:dyDescent="0.3">
      <c r="A160" s="28">
        <v>66058</v>
      </c>
      <c r="B160" s="3">
        <v>24935</v>
      </c>
      <c r="C160" s="3">
        <v>8231</v>
      </c>
      <c r="D160" s="3">
        <v>29984</v>
      </c>
      <c r="E160" s="3">
        <v>2908</v>
      </c>
      <c r="F160" s="77">
        <v>1.419</v>
      </c>
      <c r="G160" s="77">
        <v>1.3979999999999999</v>
      </c>
      <c r="H160" s="77">
        <v>1.506</v>
      </c>
      <c r="I160" s="77">
        <v>1.355</v>
      </c>
      <c r="J160" s="3">
        <v>22363</v>
      </c>
      <c r="K160" s="10">
        <v>0.29791666666666666</v>
      </c>
      <c r="L160" s="5">
        <f t="shared" si="25"/>
        <v>45789</v>
      </c>
      <c r="M160" s="3">
        <v>0.95</v>
      </c>
      <c r="N160" s="22">
        <v>1.2030000000000001</v>
      </c>
      <c r="O160" s="22">
        <f>+MAX(Tabla4[[#This Row],[6KWA]:[9KWA]])</f>
        <v>1.506</v>
      </c>
      <c r="P160" s="3">
        <f t="shared" si="17"/>
        <v>12</v>
      </c>
      <c r="Q160" s="3">
        <f t="shared" si="18"/>
        <v>5</v>
      </c>
      <c r="R160" s="3">
        <f t="shared" si="19"/>
        <v>20</v>
      </c>
      <c r="S160" s="3" t="str">
        <f t="shared" si="20"/>
        <v>mayo</v>
      </c>
      <c r="T160" s="21">
        <f t="shared" si="21"/>
        <v>496.65000000000003</v>
      </c>
      <c r="U160" s="21">
        <f t="shared" si="22"/>
        <v>489.29999999999995</v>
      </c>
      <c r="V160" s="21">
        <f t="shared" si="23"/>
        <v>527.1</v>
      </c>
      <c r="W160" s="21">
        <f>+Tabla4[[#This Row],[9KWA]]*350</f>
        <v>474.25</v>
      </c>
      <c r="X160" s="21">
        <f>350*Tabla4[[#This Row],[Max Factor Medido]]</f>
        <v>527.1</v>
      </c>
      <c r="Y160" s="39">
        <v>0.94</v>
      </c>
      <c r="Z160" s="3">
        <f t="shared" si="24"/>
        <v>2025</v>
      </c>
      <c r="AA160" s="21">
        <f>+MEDIAN(Tabla4[[#This Row],[kwreal 6]:[kwreal 9]])</f>
        <v>492.97500000000002</v>
      </c>
      <c r="AB160" s="21">
        <f>+Tabla4[[#This Row],[LineaBase-FD]]/350</f>
        <v>1.4085000000000001</v>
      </c>
    </row>
    <row r="161" spans="1:28" x14ac:dyDescent="0.3">
      <c r="A161" s="28">
        <v>66086</v>
      </c>
      <c r="B161" s="3">
        <v>24935</v>
      </c>
      <c r="C161" s="3">
        <v>8231</v>
      </c>
      <c r="D161" s="3">
        <v>30007</v>
      </c>
      <c r="E161" s="3">
        <v>2912</v>
      </c>
      <c r="F161" s="77">
        <v>1.419</v>
      </c>
      <c r="G161" s="77">
        <v>1.3979999999999999</v>
      </c>
      <c r="H161" s="77">
        <v>1.506</v>
      </c>
      <c r="I161" s="77">
        <v>1.355</v>
      </c>
      <c r="J161" s="3">
        <v>22371</v>
      </c>
      <c r="K161" s="10">
        <v>0.30694444444444446</v>
      </c>
      <c r="L161" s="5">
        <f t="shared" si="25"/>
        <v>45790</v>
      </c>
      <c r="M161" s="3">
        <v>0.96</v>
      </c>
      <c r="N161" s="22">
        <v>1.1539999999999999</v>
      </c>
      <c r="O161" s="22">
        <f>+MAX(Tabla4[[#This Row],[6KWA]:[9KWA]])</f>
        <v>1.506</v>
      </c>
      <c r="P161" s="3">
        <f t="shared" si="17"/>
        <v>13</v>
      </c>
      <c r="Q161" s="3">
        <f t="shared" si="18"/>
        <v>5</v>
      </c>
      <c r="R161" s="3">
        <f t="shared" si="19"/>
        <v>20</v>
      </c>
      <c r="S161" s="3" t="str">
        <f t="shared" si="20"/>
        <v>mayo</v>
      </c>
      <c r="T161" s="21">
        <f t="shared" si="21"/>
        <v>496.65000000000003</v>
      </c>
      <c r="U161" s="21">
        <f t="shared" si="22"/>
        <v>489.29999999999995</v>
      </c>
      <c r="V161" s="21">
        <f t="shared" si="23"/>
        <v>527.1</v>
      </c>
      <c r="W161" s="21">
        <f>+Tabla4[[#This Row],[9KWA]]*350</f>
        <v>474.25</v>
      </c>
      <c r="X161" s="21">
        <f>350*Tabla4[[#This Row],[Max Factor Medido]]</f>
        <v>527.1</v>
      </c>
      <c r="Y161" s="39">
        <v>0.94</v>
      </c>
      <c r="Z161" s="3">
        <f t="shared" si="24"/>
        <v>2025</v>
      </c>
      <c r="AA161" s="21">
        <f>+MEDIAN(Tabla4[[#This Row],[kwreal 6]:[kwreal 9]])</f>
        <v>492.97500000000002</v>
      </c>
      <c r="AB161" s="21">
        <f>+Tabla4[[#This Row],[LineaBase-FD]]/350</f>
        <v>1.4085000000000001</v>
      </c>
    </row>
    <row r="162" spans="1:28" x14ac:dyDescent="0.3">
      <c r="A162" s="28">
        <v>66115</v>
      </c>
      <c r="B162" s="3">
        <v>24947</v>
      </c>
      <c r="C162" s="3">
        <v>8236</v>
      </c>
      <c r="D162" s="3">
        <v>30018</v>
      </c>
      <c r="E162" s="3">
        <v>2912</v>
      </c>
      <c r="F162" s="77">
        <v>1.419</v>
      </c>
      <c r="G162" s="77">
        <v>1.3979999999999999</v>
      </c>
      <c r="H162" s="77">
        <v>1.506</v>
      </c>
      <c r="I162" s="77">
        <v>1.355</v>
      </c>
      <c r="J162" s="3">
        <v>22378</v>
      </c>
      <c r="K162" s="10">
        <v>0.31944444444444442</v>
      </c>
      <c r="L162" s="5">
        <f t="shared" si="25"/>
        <v>45791</v>
      </c>
      <c r="M162" s="3">
        <v>0.98</v>
      </c>
      <c r="N162" s="22">
        <v>9.1999999999999993</v>
      </c>
      <c r="O162" s="22">
        <f>+MAX(Tabla4[[#This Row],[6KWA]:[9KWA]])</f>
        <v>1.506</v>
      </c>
      <c r="P162" s="3">
        <f t="shared" si="17"/>
        <v>14</v>
      </c>
      <c r="Q162" s="3">
        <f t="shared" si="18"/>
        <v>5</v>
      </c>
      <c r="R162" s="3">
        <f t="shared" si="19"/>
        <v>20</v>
      </c>
      <c r="S162" s="3" t="str">
        <f t="shared" si="20"/>
        <v>mayo</v>
      </c>
      <c r="T162" s="21">
        <f t="shared" si="21"/>
        <v>496.65000000000003</v>
      </c>
      <c r="U162" s="21">
        <f t="shared" si="22"/>
        <v>489.29999999999995</v>
      </c>
      <c r="V162" s="21">
        <f t="shared" si="23"/>
        <v>527.1</v>
      </c>
      <c r="W162" s="21">
        <f>+Tabla4[[#This Row],[9KWA]]*350</f>
        <v>474.25</v>
      </c>
      <c r="X162" s="21">
        <f>350*Tabla4[[#This Row],[Max Factor Medido]]</f>
        <v>527.1</v>
      </c>
      <c r="Y162" s="39">
        <v>0.94</v>
      </c>
      <c r="Z162" s="3">
        <f t="shared" si="24"/>
        <v>2025</v>
      </c>
      <c r="AA162" s="21">
        <f>+MEDIAN(Tabla4[[#This Row],[kwreal 6]:[kwreal 9]])</f>
        <v>492.97500000000002</v>
      </c>
      <c r="AB162" s="21">
        <f>+Tabla4[[#This Row],[LineaBase-FD]]/350</f>
        <v>1.4085000000000001</v>
      </c>
    </row>
    <row r="163" spans="1:28" x14ac:dyDescent="0.3">
      <c r="A163" s="28">
        <v>66142</v>
      </c>
      <c r="B163" s="3">
        <v>24959</v>
      </c>
      <c r="C163" s="3">
        <v>8240</v>
      </c>
      <c r="D163" s="3">
        <v>30029</v>
      </c>
      <c r="E163" s="3">
        <v>2912</v>
      </c>
      <c r="F163" s="77">
        <v>1.419</v>
      </c>
      <c r="G163" s="77">
        <v>1.3979999999999999</v>
      </c>
      <c r="H163" s="77">
        <v>1.506</v>
      </c>
      <c r="I163" s="77">
        <v>1.355</v>
      </c>
      <c r="J163" s="3">
        <v>22385</v>
      </c>
      <c r="K163" s="10">
        <v>0.2951388888888889</v>
      </c>
      <c r="L163" s="5">
        <f t="shared" si="25"/>
        <v>45792</v>
      </c>
      <c r="M163" s="3">
        <v>0.96</v>
      </c>
      <c r="N163" s="22">
        <v>1.1319999999999999</v>
      </c>
      <c r="O163" s="22">
        <f>+MAX(Tabla4[[#This Row],[6KWA]:[9KWA]])</f>
        <v>1.506</v>
      </c>
      <c r="P163" s="3">
        <f t="shared" si="17"/>
        <v>15</v>
      </c>
      <c r="Q163" s="3">
        <f t="shared" si="18"/>
        <v>5</v>
      </c>
      <c r="R163" s="3">
        <f t="shared" si="19"/>
        <v>20</v>
      </c>
      <c r="S163" s="3" t="str">
        <f t="shared" si="20"/>
        <v>mayo</v>
      </c>
      <c r="T163" s="21">
        <f t="shared" si="21"/>
        <v>496.65000000000003</v>
      </c>
      <c r="U163" s="21">
        <f t="shared" si="22"/>
        <v>489.29999999999995</v>
      </c>
      <c r="V163" s="21">
        <f t="shared" si="23"/>
        <v>527.1</v>
      </c>
      <c r="W163" s="21">
        <f>+Tabla4[[#This Row],[9KWA]]*350</f>
        <v>474.25</v>
      </c>
      <c r="X163" s="21">
        <f>350*Tabla4[[#This Row],[Max Factor Medido]]</f>
        <v>527.1</v>
      </c>
      <c r="Y163" s="39">
        <v>0.94</v>
      </c>
      <c r="Z163" s="3">
        <f t="shared" si="24"/>
        <v>2025</v>
      </c>
      <c r="AA163" s="21">
        <f>+MEDIAN(Tabla4[[#This Row],[kwreal 6]:[kwreal 9]])</f>
        <v>492.97500000000002</v>
      </c>
      <c r="AB163" s="21">
        <f>+Tabla4[[#This Row],[LineaBase-FD]]/350</f>
        <v>1.4085000000000001</v>
      </c>
    </row>
    <row r="164" spans="1:28" x14ac:dyDescent="0.3">
      <c r="A164" s="29">
        <v>66172</v>
      </c>
      <c r="B164" s="2">
        <v>24971</v>
      </c>
      <c r="C164" s="2">
        <v>8245</v>
      </c>
      <c r="D164" s="2">
        <v>30041</v>
      </c>
      <c r="E164" s="2">
        <v>2912</v>
      </c>
      <c r="F164" s="77">
        <v>1.48</v>
      </c>
      <c r="G164" s="77">
        <v>1.3979999999999999</v>
      </c>
      <c r="H164" s="77">
        <v>1.506</v>
      </c>
      <c r="I164" s="77">
        <v>1.355</v>
      </c>
      <c r="J164" s="2">
        <v>22393</v>
      </c>
      <c r="K164" s="9">
        <v>0.30555555555555558</v>
      </c>
      <c r="L164" s="6">
        <f t="shared" si="25"/>
        <v>45793</v>
      </c>
      <c r="M164" s="2">
        <v>0.96</v>
      </c>
      <c r="N164" s="22">
        <v>1.012</v>
      </c>
      <c r="O164" s="22">
        <f>+MAX(Tabla4[[#This Row],[6KWA]:[9KWA]])</f>
        <v>1.506</v>
      </c>
      <c r="P164" s="3">
        <f t="shared" si="17"/>
        <v>16</v>
      </c>
      <c r="Q164" s="3">
        <f t="shared" si="18"/>
        <v>5</v>
      </c>
      <c r="R164" s="3">
        <f t="shared" si="19"/>
        <v>20</v>
      </c>
      <c r="S164" s="3" t="str">
        <f t="shared" si="20"/>
        <v>mayo</v>
      </c>
      <c r="T164" s="21">
        <f t="shared" si="21"/>
        <v>518</v>
      </c>
      <c r="U164" s="21">
        <f t="shared" si="22"/>
        <v>489.29999999999995</v>
      </c>
      <c r="V164" s="21">
        <f t="shared" si="23"/>
        <v>527.1</v>
      </c>
      <c r="W164" s="21">
        <f>+Tabla4[[#This Row],[9KWA]]*350</f>
        <v>474.25</v>
      </c>
      <c r="X164" s="21">
        <f>350*Tabla4[[#This Row],[Max Factor Medido]]</f>
        <v>527.1</v>
      </c>
      <c r="Y164" s="39">
        <v>0.94</v>
      </c>
      <c r="Z164" s="3">
        <f t="shared" si="24"/>
        <v>2025</v>
      </c>
      <c r="AA164" s="21">
        <f>+MEDIAN(Tabla4[[#This Row],[kwreal 6]:[kwreal 9]])</f>
        <v>503.65</v>
      </c>
      <c r="AB164" s="21">
        <f>+Tabla4[[#This Row],[LineaBase-FD]]/350</f>
        <v>1.4389999999999998</v>
      </c>
    </row>
    <row r="165" spans="1:28" x14ac:dyDescent="0.3">
      <c r="A165" s="29">
        <v>66202</v>
      </c>
      <c r="B165" s="2">
        <v>24985</v>
      </c>
      <c r="C165" s="2">
        <v>8251</v>
      </c>
      <c r="D165" s="2">
        <v>30050</v>
      </c>
      <c r="E165" s="2">
        <v>2912</v>
      </c>
      <c r="F165" s="77">
        <v>1.4890000000000001</v>
      </c>
      <c r="G165" s="77">
        <v>1.4670000000000001</v>
      </c>
      <c r="H165" s="77">
        <v>1.506</v>
      </c>
      <c r="I165" s="77">
        <v>1.355</v>
      </c>
      <c r="J165" s="2">
        <v>22402</v>
      </c>
      <c r="K165" s="9">
        <v>0.30902777777777779</v>
      </c>
      <c r="L165" s="6">
        <f t="shared" si="25"/>
        <v>45794</v>
      </c>
      <c r="M165" s="2">
        <v>0.96</v>
      </c>
      <c r="N165" s="22">
        <v>1.2030000000000001</v>
      </c>
      <c r="O165" s="22">
        <f>+MAX(Tabla4[[#This Row],[6KWA]:[9KWA]])</f>
        <v>1.506</v>
      </c>
      <c r="P165" s="3">
        <f t="shared" si="17"/>
        <v>17</v>
      </c>
      <c r="Q165" s="3">
        <f t="shared" si="18"/>
        <v>5</v>
      </c>
      <c r="R165" s="3">
        <f t="shared" si="19"/>
        <v>20</v>
      </c>
      <c r="S165" s="3" t="str">
        <f t="shared" si="20"/>
        <v>mayo</v>
      </c>
      <c r="T165" s="21">
        <f t="shared" si="21"/>
        <v>521.15000000000009</v>
      </c>
      <c r="U165" s="21">
        <f t="shared" si="22"/>
        <v>513.45000000000005</v>
      </c>
      <c r="V165" s="21">
        <f t="shared" si="23"/>
        <v>527.1</v>
      </c>
      <c r="W165" s="21">
        <f>+Tabla4[[#This Row],[9KWA]]*350</f>
        <v>474.25</v>
      </c>
      <c r="X165" s="21">
        <f>350*Tabla4[[#This Row],[Max Factor Medido]]</f>
        <v>527.1</v>
      </c>
      <c r="Y165" s="39">
        <v>0.94</v>
      </c>
      <c r="Z165" s="3">
        <f t="shared" si="24"/>
        <v>2025</v>
      </c>
      <c r="AA165" s="21">
        <f>+MEDIAN(Tabla4[[#This Row],[kwreal 6]:[kwreal 9]])</f>
        <v>517.30000000000007</v>
      </c>
      <c r="AB165" s="21">
        <f>+Tabla4[[#This Row],[LineaBase-FD]]/350</f>
        <v>1.4780000000000002</v>
      </c>
    </row>
    <row r="166" spans="1:28" x14ac:dyDescent="0.3">
      <c r="A166" s="28">
        <v>66232</v>
      </c>
      <c r="B166" s="3">
        <v>24998</v>
      </c>
      <c r="C166" s="3">
        <v>8256</v>
      </c>
      <c r="D166" s="3">
        <v>30065</v>
      </c>
      <c r="E166" s="3">
        <v>2912</v>
      </c>
      <c r="F166" s="77">
        <v>1.4890000000000001</v>
      </c>
      <c r="G166" s="77">
        <v>1.4670000000000001</v>
      </c>
      <c r="H166" s="77">
        <v>1.506</v>
      </c>
      <c r="I166" s="77">
        <v>1.355</v>
      </c>
      <c r="J166" s="3">
        <v>22421</v>
      </c>
      <c r="K166" s="10">
        <v>0.2986111111111111</v>
      </c>
      <c r="L166" s="5">
        <f t="shared" si="25"/>
        <v>45795</v>
      </c>
      <c r="M166" s="3">
        <v>0.97</v>
      </c>
      <c r="N166" s="22">
        <v>1.18</v>
      </c>
      <c r="O166" s="22">
        <f>+MAX(Tabla4[[#This Row],[6KWA]:[9KWA]])</f>
        <v>1.506</v>
      </c>
      <c r="P166" s="3">
        <f t="shared" si="17"/>
        <v>18</v>
      </c>
      <c r="Q166" s="3">
        <f t="shared" si="18"/>
        <v>5</v>
      </c>
      <c r="R166" s="3">
        <f t="shared" si="19"/>
        <v>21</v>
      </c>
      <c r="S166" s="3" t="str">
        <f t="shared" si="20"/>
        <v>mayo</v>
      </c>
      <c r="T166" s="21">
        <f t="shared" si="21"/>
        <v>521.15000000000009</v>
      </c>
      <c r="U166" s="21">
        <f t="shared" si="22"/>
        <v>513.45000000000005</v>
      </c>
      <c r="V166" s="21">
        <f t="shared" si="23"/>
        <v>527.1</v>
      </c>
      <c r="W166" s="21">
        <f>+Tabla4[[#This Row],[9KWA]]*350</f>
        <v>474.25</v>
      </c>
      <c r="X166" s="21">
        <f>350*Tabla4[[#This Row],[Max Factor Medido]]</f>
        <v>527.1</v>
      </c>
      <c r="Y166" s="39">
        <v>0.94</v>
      </c>
      <c r="Z166" s="3">
        <f t="shared" si="24"/>
        <v>2025</v>
      </c>
      <c r="AA166" s="21">
        <f>+MEDIAN(Tabla4[[#This Row],[kwreal 6]:[kwreal 9]])</f>
        <v>517.30000000000007</v>
      </c>
      <c r="AB166" s="21">
        <f>+Tabla4[[#This Row],[LineaBase-FD]]/350</f>
        <v>1.4780000000000002</v>
      </c>
    </row>
    <row r="167" spans="1:28" x14ac:dyDescent="0.3">
      <c r="A167" s="28">
        <v>66262</v>
      </c>
      <c r="B167" s="3">
        <v>24998</v>
      </c>
      <c r="C167" s="3">
        <v>8256</v>
      </c>
      <c r="D167" s="14">
        <v>30089</v>
      </c>
      <c r="E167" s="3">
        <v>2917</v>
      </c>
      <c r="F167" s="77">
        <v>1.4890000000000001</v>
      </c>
      <c r="G167" s="77">
        <v>1.4670000000000001</v>
      </c>
      <c r="H167" s="77">
        <v>1.506</v>
      </c>
      <c r="I167" s="77">
        <v>1.355</v>
      </c>
      <c r="J167" s="3">
        <v>2.2418999999999998</v>
      </c>
      <c r="K167" s="10">
        <v>0.29583333333333334</v>
      </c>
      <c r="L167" s="5">
        <f t="shared" si="25"/>
        <v>45796</v>
      </c>
      <c r="M167" s="3">
        <v>0.96</v>
      </c>
      <c r="N167" s="22">
        <v>1.046</v>
      </c>
      <c r="O167" s="22">
        <f>+MAX(Tabla4[[#This Row],[6KWA]:[9KWA]])</f>
        <v>1.506</v>
      </c>
      <c r="P167" s="3">
        <f t="shared" si="17"/>
        <v>19</v>
      </c>
      <c r="Q167" s="3">
        <f t="shared" si="18"/>
        <v>5</v>
      </c>
      <c r="R167" s="3">
        <f t="shared" si="19"/>
        <v>21</v>
      </c>
      <c r="S167" s="3" t="str">
        <f t="shared" si="20"/>
        <v>mayo</v>
      </c>
      <c r="T167" s="21">
        <f t="shared" si="21"/>
        <v>521.15000000000009</v>
      </c>
      <c r="U167" s="21">
        <f t="shared" si="22"/>
        <v>513.45000000000005</v>
      </c>
      <c r="V167" s="21">
        <f t="shared" si="23"/>
        <v>527.1</v>
      </c>
      <c r="W167" s="21">
        <f>+Tabla4[[#This Row],[9KWA]]*350</f>
        <v>474.25</v>
      </c>
      <c r="X167" s="21">
        <f>350*Tabla4[[#This Row],[Max Factor Medido]]</f>
        <v>527.1</v>
      </c>
      <c r="Y167" s="39">
        <v>0.94</v>
      </c>
      <c r="Z167" s="3">
        <f t="shared" si="24"/>
        <v>2025</v>
      </c>
      <c r="AA167" s="21">
        <f>+MEDIAN(Tabla4[[#This Row],[kwreal 6]:[kwreal 9]])</f>
        <v>517.30000000000007</v>
      </c>
      <c r="AB167" s="21">
        <f>+Tabla4[[#This Row],[LineaBase-FD]]/350</f>
        <v>1.4780000000000002</v>
      </c>
    </row>
    <row r="168" spans="1:28" x14ac:dyDescent="0.3">
      <c r="A168" s="28">
        <v>66299</v>
      </c>
      <c r="B168" s="3">
        <v>25002</v>
      </c>
      <c r="C168" s="3">
        <v>8256</v>
      </c>
      <c r="D168" s="3">
        <v>30096</v>
      </c>
      <c r="E168" s="3">
        <v>2922</v>
      </c>
      <c r="F168" s="77">
        <v>1.4890000000000001</v>
      </c>
      <c r="G168" s="77">
        <v>1.4670000000000001</v>
      </c>
      <c r="H168" s="77">
        <v>1.506</v>
      </c>
      <c r="I168" s="77">
        <v>1.355</v>
      </c>
      <c r="J168" s="3">
        <v>2.2429999999999999</v>
      </c>
      <c r="K168" s="10">
        <v>0.3125</v>
      </c>
      <c r="L168" s="5">
        <f t="shared" si="25"/>
        <v>45797</v>
      </c>
      <c r="M168" s="3">
        <v>0.94</v>
      </c>
      <c r="N168" s="22">
        <v>1.3540000000000001</v>
      </c>
      <c r="O168" s="22">
        <f>+MAX(Tabla4[[#This Row],[6KWA]:[9KWA]])</f>
        <v>1.506</v>
      </c>
      <c r="P168" s="3">
        <f t="shared" si="17"/>
        <v>20</v>
      </c>
      <c r="Q168" s="3">
        <f t="shared" si="18"/>
        <v>5</v>
      </c>
      <c r="R168" s="3">
        <f t="shared" si="19"/>
        <v>21</v>
      </c>
      <c r="S168" s="3" t="str">
        <f t="shared" si="20"/>
        <v>mayo</v>
      </c>
      <c r="T168" s="21">
        <f t="shared" si="21"/>
        <v>521.15000000000009</v>
      </c>
      <c r="U168" s="21">
        <f t="shared" si="22"/>
        <v>513.45000000000005</v>
      </c>
      <c r="V168" s="21">
        <f t="shared" si="23"/>
        <v>527.1</v>
      </c>
      <c r="W168" s="21">
        <f>+Tabla4[[#This Row],[9KWA]]*350</f>
        <v>474.25</v>
      </c>
      <c r="X168" s="21">
        <f>350*Tabla4[[#This Row],[Max Factor Medido]]</f>
        <v>527.1</v>
      </c>
      <c r="Y168" s="39">
        <v>0.94</v>
      </c>
      <c r="Z168" s="3">
        <f t="shared" si="24"/>
        <v>2025</v>
      </c>
      <c r="AA168" s="21">
        <f>+MEDIAN(Tabla4[[#This Row],[kwreal 6]:[kwreal 9]])</f>
        <v>517.30000000000007</v>
      </c>
      <c r="AB168" s="21">
        <f>+Tabla4[[#This Row],[LineaBase-FD]]/350</f>
        <v>1.4780000000000002</v>
      </c>
    </row>
    <row r="169" spans="1:28" x14ac:dyDescent="0.3">
      <c r="A169" s="28">
        <v>66320</v>
      </c>
      <c r="B169" s="3">
        <v>25011</v>
      </c>
      <c r="C169" s="3">
        <v>8256</v>
      </c>
      <c r="D169" s="3">
        <v>30125</v>
      </c>
      <c r="E169" s="3">
        <v>2922</v>
      </c>
      <c r="F169" s="77">
        <v>1.4890000000000001</v>
      </c>
      <c r="G169" s="77">
        <v>1.4670000000000001</v>
      </c>
      <c r="H169" s="77">
        <v>1.506</v>
      </c>
      <c r="I169" s="77">
        <v>1.355</v>
      </c>
      <c r="J169" s="3">
        <v>22435</v>
      </c>
      <c r="K169" s="10">
        <v>0.29930555555555555</v>
      </c>
      <c r="L169" s="5">
        <f t="shared" si="25"/>
        <v>45798</v>
      </c>
      <c r="M169" s="3">
        <v>0.94</v>
      </c>
      <c r="N169" s="22">
        <v>1.206</v>
      </c>
      <c r="O169" s="22">
        <f>+MAX(Tabla4[[#This Row],[6KWA]:[9KWA]])</f>
        <v>1.506</v>
      </c>
      <c r="P169" s="3">
        <f t="shared" si="17"/>
        <v>21</v>
      </c>
      <c r="Q169" s="3">
        <f t="shared" si="18"/>
        <v>5</v>
      </c>
      <c r="R169" s="3">
        <f t="shared" si="19"/>
        <v>21</v>
      </c>
      <c r="S169" s="3" t="str">
        <f t="shared" si="20"/>
        <v>mayo</v>
      </c>
      <c r="T169" s="21">
        <f t="shared" si="21"/>
        <v>521.15000000000009</v>
      </c>
      <c r="U169" s="21">
        <f t="shared" si="22"/>
        <v>513.45000000000005</v>
      </c>
      <c r="V169" s="21">
        <f t="shared" si="23"/>
        <v>527.1</v>
      </c>
      <c r="W169" s="21">
        <f>+Tabla4[[#This Row],[9KWA]]*350</f>
        <v>474.25</v>
      </c>
      <c r="X169" s="21">
        <f>350*Tabla4[[#This Row],[Max Factor Medido]]</f>
        <v>527.1</v>
      </c>
      <c r="Y169" s="39">
        <v>0.94</v>
      </c>
      <c r="Z169" s="3">
        <f t="shared" si="24"/>
        <v>2025</v>
      </c>
      <c r="AA169" s="21">
        <f>+MEDIAN(Tabla4[[#This Row],[kwreal 6]:[kwreal 9]])</f>
        <v>517.30000000000007</v>
      </c>
      <c r="AB169" s="21">
        <f>+Tabla4[[#This Row],[LineaBase-FD]]/350</f>
        <v>1.4780000000000002</v>
      </c>
    </row>
    <row r="170" spans="1:28" x14ac:dyDescent="0.3">
      <c r="A170" s="29">
        <v>66350</v>
      </c>
      <c r="B170" s="2">
        <v>25024</v>
      </c>
      <c r="C170" s="2">
        <v>8266</v>
      </c>
      <c r="D170" s="2">
        <v>30137</v>
      </c>
      <c r="E170" s="2">
        <v>2922</v>
      </c>
      <c r="F170" s="77">
        <v>1.536</v>
      </c>
      <c r="G170" s="77">
        <v>1.4670000000000001</v>
      </c>
      <c r="H170" s="77">
        <v>1.506</v>
      </c>
      <c r="I170" s="77">
        <v>1.355</v>
      </c>
      <c r="J170" s="2">
        <v>22444</v>
      </c>
      <c r="K170" s="9">
        <v>0.2986111111111111</v>
      </c>
      <c r="L170" s="6">
        <f t="shared" si="25"/>
        <v>45799</v>
      </c>
      <c r="M170" s="2">
        <v>0.96</v>
      </c>
      <c r="N170" s="22">
        <v>1.3049999999999999</v>
      </c>
      <c r="O170" s="22">
        <f>+MAX(Tabla4[[#This Row],[6KWA]:[9KWA]])</f>
        <v>1.536</v>
      </c>
      <c r="P170" s="3">
        <f t="shared" si="17"/>
        <v>22</v>
      </c>
      <c r="Q170" s="3">
        <f t="shared" si="18"/>
        <v>5</v>
      </c>
      <c r="R170" s="3">
        <f t="shared" si="19"/>
        <v>21</v>
      </c>
      <c r="S170" s="3" t="str">
        <f t="shared" si="20"/>
        <v>mayo</v>
      </c>
      <c r="T170" s="21">
        <f t="shared" si="21"/>
        <v>537.6</v>
      </c>
      <c r="U170" s="21">
        <f t="shared" si="22"/>
        <v>513.45000000000005</v>
      </c>
      <c r="V170" s="21">
        <f t="shared" si="23"/>
        <v>527.1</v>
      </c>
      <c r="W170" s="21">
        <f>+Tabla4[[#This Row],[9KWA]]*350</f>
        <v>474.25</v>
      </c>
      <c r="X170" s="21">
        <f>350*Tabla4[[#This Row],[Max Factor Medido]]</f>
        <v>537.6</v>
      </c>
      <c r="Y170" s="39">
        <v>0.94</v>
      </c>
      <c r="Z170" s="3">
        <f t="shared" si="24"/>
        <v>2025</v>
      </c>
      <c r="AA170" s="21">
        <f>+MEDIAN(Tabla4[[#This Row],[kwreal 6]:[kwreal 9]])</f>
        <v>520.27500000000009</v>
      </c>
      <c r="AB170" s="21">
        <f>+Tabla4[[#This Row],[LineaBase-FD]]/350</f>
        <v>1.4865000000000002</v>
      </c>
    </row>
    <row r="171" spans="1:28" x14ac:dyDescent="0.3">
      <c r="A171" s="29">
        <v>66380</v>
      </c>
      <c r="B171" s="2">
        <v>25037</v>
      </c>
      <c r="C171" s="2">
        <v>8271</v>
      </c>
      <c r="D171" s="2">
        <v>30149</v>
      </c>
      <c r="E171" s="2">
        <v>2922</v>
      </c>
      <c r="F171" s="77">
        <v>1.536</v>
      </c>
      <c r="G171" s="77">
        <v>1.4670000000000001</v>
      </c>
      <c r="H171" s="77">
        <v>1.506</v>
      </c>
      <c r="I171" s="77">
        <v>1.355</v>
      </c>
      <c r="J171" s="2">
        <v>22452</v>
      </c>
      <c r="K171" s="9">
        <v>0.30277777777777776</v>
      </c>
      <c r="L171" s="6">
        <f t="shared" si="25"/>
        <v>45800</v>
      </c>
      <c r="M171" s="2">
        <v>0.97</v>
      </c>
      <c r="N171" s="22">
        <v>10.66</v>
      </c>
      <c r="O171" s="22">
        <f>+MAX(Tabla4[[#This Row],[6KWA]:[9KWA]])</f>
        <v>1.536</v>
      </c>
      <c r="P171" s="3">
        <f t="shared" si="17"/>
        <v>23</v>
      </c>
      <c r="Q171" s="3">
        <f t="shared" si="18"/>
        <v>5</v>
      </c>
      <c r="R171" s="3">
        <f t="shared" si="19"/>
        <v>21</v>
      </c>
      <c r="S171" s="3" t="str">
        <f t="shared" si="20"/>
        <v>mayo</v>
      </c>
      <c r="T171" s="21">
        <f t="shared" si="21"/>
        <v>537.6</v>
      </c>
      <c r="U171" s="21">
        <f t="shared" si="22"/>
        <v>513.45000000000005</v>
      </c>
      <c r="V171" s="21">
        <f t="shared" si="23"/>
        <v>527.1</v>
      </c>
      <c r="W171" s="21">
        <f>+Tabla4[[#This Row],[9KWA]]*350</f>
        <v>474.25</v>
      </c>
      <c r="X171" s="21">
        <f>350*Tabla4[[#This Row],[Max Factor Medido]]</f>
        <v>537.6</v>
      </c>
      <c r="Y171" s="39">
        <v>0.94</v>
      </c>
      <c r="Z171" s="3">
        <f t="shared" si="24"/>
        <v>2025</v>
      </c>
      <c r="AA171" s="21">
        <f>+MEDIAN(Tabla4[[#This Row],[kwreal 6]:[kwreal 9]])</f>
        <v>520.27500000000009</v>
      </c>
      <c r="AB171" s="21">
        <f>+Tabla4[[#This Row],[LineaBase-FD]]/350</f>
        <v>1.4865000000000002</v>
      </c>
    </row>
    <row r="172" spans="1:28" x14ac:dyDescent="0.3">
      <c r="A172" s="28">
        <v>66410</v>
      </c>
      <c r="B172" s="3">
        <v>25050</v>
      </c>
      <c r="C172" s="3">
        <v>8276</v>
      </c>
      <c r="D172" s="3">
        <v>30160</v>
      </c>
      <c r="E172" s="3">
        <v>2922</v>
      </c>
      <c r="F172" s="77">
        <v>1.536</v>
      </c>
      <c r="G172" s="77">
        <v>1.4670000000000001</v>
      </c>
      <c r="H172" s="77">
        <v>1.506</v>
      </c>
      <c r="I172" s="77">
        <v>1.355</v>
      </c>
      <c r="J172" s="3">
        <v>22461</v>
      </c>
      <c r="K172" s="10">
        <v>0.30555555555555558</v>
      </c>
      <c r="L172" s="5">
        <f t="shared" si="25"/>
        <v>45801</v>
      </c>
      <c r="M172" s="3">
        <v>0.96</v>
      </c>
      <c r="N172" s="22">
        <v>1.2210000000000001</v>
      </c>
      <c r="O172" s="22">
        <f>+MAX(Tabla4[[#This Row],[6KWA]:[9KWA]])</f>
        <v>1.536</v>
      </c>
      <c r="P172" s="3">
        <f t="shared" si="17"/>
        <v>24</v>
      </c>
      <c r="Q172" s="3">
        <f t="shared" si="18"/>
        <v>5</v>
      </c>
      <c r="R172" s="3">
        <f t="shared" si="19"/>
        <v>21</v>
      </c>
      <c r="S172" s="3" t="str">
        <f t="shared" si="20"/>
        <v>mayo</v>
      </c>
      <c r="T172" s="21">
        <f t="shared" si="21"/>
        <v>537.6</v>
      </c>
      <c r="U172" s="21">
        <f t="shared" si="22"/>
        <v>513.45000000000005</v>
      </c>
      <c r="V172" s="21">
        <f t="shared" si="23"/>
        <v>527.1</v>
      </c>
      <c r="W172" s="21">
        <f>+Tabla4[[#This Row],[9KWA]]*350</f>
        <v>474.25</v>
      </c>
      <c r="X172" s="21">
        <f>350*Tabla4[[#This Row],[Max Factor Medido]]</f>
        <v>537.6</v>
      </c>
      <c r="Y172" s="39">
        <v>0.94</v>
      </c>
      <c r="Z172" s="3">
        <f t="shared" si="24"/>
        <v>2025</v>
      </c>
      <c r="AA172" s="21">
        <f>+MEDIAN(Tabla4[[#This Row],[kwreal 6]:[kwreal 9]])</f>
        <v>520.27500000000009</v>
      </c>
      <c r="AB172" s="21">
        <f>+Tabla4[[#This Row],[LineaBase-FD]]/350</f>
        <v>1.4865000000000002</v>
      </c>
    </row>
    <row r="173" spans="1:28" x14ac:dyDescent="0.3">
      <c r="A173" s="28">
        <v>66440</v>
      </c>
      <c r="B173" s="3">
        <v>25063</v>
      </c>
      <c r="C173" s="3">
        <v>8281</v>
      </c>
      <c r="D173" s="3">
        <v>30172</v>
      </c>
      <c r="E173" s="3">
        <v>2922</v>
      </c>
      <c r="F173" s="77">
        <v>1.536</v>
      </c>
      <c r="G173" s="77">
        <v>1.4670000000000001</v>
      </c>
      <c r="H173" s="77">
        <v>1.506</v>
      </c>
      <c r="I173" s="77">
        <v>1.355</v>
      </c>
      <c r="J173" s="3">
        <v>22469</v>
      </c>
      <c r="K173" s="10">
        <v>0.2986111111111111</v>
      </c>
      <c r="L173" s="5">
        <f t="shared" si="25"/>
        <v>45802</v>
      </c>
      <c r="M173" s="3">
        <v>0.94</v>
      </c>
      <c r="N173" s="22">
        <v>0.98599999999999999</v>
      </c>
      <c r="O173" s="22">
        <f>+MAX(Tabla4[[#This Row],[6KWA]:[9KWA]])</f>
        <v>1.536</v>
      </c>
      <c r="P173" s="3">
        <f t="shared" si="17"/>
        <v>25</v>
      </c>
      <c r="Q173" s="3">
        <f t="shared" si="18"/>
        <v>5</v>
      </c>
      <c r="R173" s="3">
        <f t="shared" si="19"/>
        <v>22</v>
      </c>
      <c r="S173" s="3" t="str">
        <f t="shared" si="20"/>
        <v>mayo</v>
      </c>
      <c r="T173" s="21">
        <f t="shared" si="21"/>
        <v>537.6</v>
      </c>
      <c r="U173" s="21">
        <f t="shared" si="22"/>
        <v>513.45000000000005</v>
      </c>
      <c r="V173" s="21">
        <f t="shared" si="23"/>
        <v>527.1</v>
      </c>
      <c r="W173" s="21">
        <f>+Tabla4[[#This Row],[9KWA]]*350</f>
        <v>474.25</v>
      </c>
      <c r="X173" s="21">
        <f>350*Tabla4[[#This Row],[Max Factor Medido]]</f>
        <v>537.6</v>
      </c>
      <c r="Y173" s="39">
        <v>0.94</v>
      </c>
      <c r="Z173" s="3">
        <f t="shared" si="24"/>
        <v>2025</v>
      </c>
      <c r="AA173" s="21">
        <f>+MEDIAN(Tabla4[[#This Row],[kwreal 6]:[kwreal 9]])</f>
        <v>520.27500000000009</v>
      </c>
      <c r="AB173" s="21">
        <f>+Tabla4[[#This Row],[LineaBase-FD]]/350</f>
        <v>1.4865000000000002</v>
      </c>
    </row>
    <row r="174" spans="1:28" x14ac:dyDescent="0.3">
      <c r="A174" s="28">
        <v>66470</v>
      </c>
      <c r="B174" s="3">
        <v>25063</v>
      </c>
      <c r="C174" s="3">
        <v>8281</v>
      </c>
      <c r="D174" s="3">
        <v>30197</v>
      </c>
      <c r="E174" s="3">
        <v>2927</v>
      </c>
      <c r="F174" s="77">
        <v>1.536</v>
      </c>
      <c r="G174" s="77">
        <v>1.4670000000000001</v>
      </c>
      <c r="H174" s="77">
        <v>1.506</v>
      </c>
      <c r="I174" s="77">
        <v>1.355</v>
      </c>
      <c r="J174" s="3">
        <v>22478</v>
      </c>
      <c r="K174" s="10">
        <v>0.34097222222222223</v>
      </c>
      <c r="L174" s="5">
        <f t="shared" si="25"/>
        <v>45803</v>
      </c>
      <c r="M174" s="3">
        <v>0.96</v>
      </c>
      <c r="N174" s="22">
        <v>9.69</v>
      </c>
      <c r="O174" s="22">
        <f>+MAX(Tabla4[[#This Row],[6KWA]:[9KWA]])</f>
        <v>1.536</v>
      </c>
      <c r="P174" s="3">
        <f t="shared" si="17"/>
        <v>26</v>
      </c>
      <c r="Q174" s="3">
        <f t="shared" si="18"/>
        <v>5</v>
      </c>
      <c r="R174" s="3">
        <f t="shared" si="19"/>
        <v>22</v>
      </c>
      <c r="S174" s="3" t="str">
        <f t="shared" si="20"/>
        <v>mayo</v>
      </c>
      <c r="T174" s="21">
        <f t="shared" si="21"/>
        <v>537.6</v>
      </c>
      <c r="U174" s="21">
        <f t="shared" si="22"/>
        <v>513.45000000000005</v>
      </c>
      <c r="V174" s="21">
        <f t="shared" si="23"/>
        <v>527.1</v>
      </c>
      <c r="W174" s="21">
        <f>+Tabla4[[#This Row],[9KWA]]*350</f>
        <v>474.25</v>
      </c>
      <c r="X174" s="21">
        <f>350*Tabla4[[#This Row],[Max Factor Medido]]</f>
        <v>537.6</v>
      </c>
      <c r="Y174" s="39">
        <v>0.94</v>
      </c>
      <c r="Z174" s="3">
        <f t="shared" si="24"/>
        <v>2025</v>
      </c>
      <c r="AA174" s="21">
        <f>+MEDIAN(Tabla4[[#This Row],[kwreal 6]:[kwreal 9]])</f>
        <v>520.27500000000009</v>
      </c>
      <c r="AB174" s="21">
        <f>+Tabla4[[#This Row],[LineaBase-FD]]/350</f>
        <v>1.4865000000000002</v>
      </c>
    </row>
    <row r="175" spans="1:28" x14ac:dyDescent="0.3">
      <c r="A175" s="28">
        <v>66497</v>
      </c>
      <c r="B175" s="3">
        <v>25063</v>
      </c>
      <c r="C175" s="3">
        <v>8281</v>
      </c>
      <c r="D175" s="3">
        <v>30219</v>
      </c>
      <c r="E175" s="3">
        <v>2932</v>
      </c>
      <c r="F175" s="77">
        <v>1.536</v>
      </c>
      <c r="G175" s="77">
        <v>1.4670000000000001</v>
      </c>
      <c r="H175" s="77">
        <v>1.506</v>
      </c>
      <c r="I175" s="77">
        <v>1.355</v>
      </c>
      <c r="J175" s="3">
        <v>22485</v>
      </c>
      <c r="K175" s="10">
        <v>0.35902777777777778</v>
      </c>
      <c r="L175" s="5">
        <f t="shared" si="25"/>
        <v>45804</v>
      </c>
      <c r="M175" s="3">
        <v>0.97</v>
      </c>
      <c r="N175" s="22">
        <v>1.0409999999999999</v>
      </c>
      <c r="O175" s="22">
        <f>+MAX(Tabla4[[#This Row],[6KWA]:[9KWA]])</f>
        <v>1.536</v>
      </c>
      <c r="P175" s="3">
        <f t="shared" si="17"/>
        <v>27</v>
      </c>
      <c r="Q175" s="3">
        <f t="shared" si="18"/>
        <v>5</v>
      </c>
      <c r="R175" s="3">
        <f t="shared" si="19"/>
        <v>22</v>
      </c>
      <c r="S175" s="3" t="str">
        <f t="shared" si="20"/>
        <v>mayo</v>
      </c>
      <c r="T175" s="21">
        <f t="shared" si="21"/>
        <v>537.6</v>
      </c>
      <c r="U175" s="21">
        <f t="shared" si="22"/>
        <v>513.45000000000005</v>
      </c>
      <c r="V175" s="21">
        <f t="shared" si="23"/>
        <v>527.1</v>
      </c>
      <c r="W175" s="21">
        <f>+Tabla4[[#This Row],[9KWA]]*350</f>
        <v>474.25</v>
      </c>
      <c r="X175" s="21">
        <f>350*Tabla4[[#This Row],[Max Factor Medido]]</f>
        <v>537.6</v>
      </c>
      <c r="Y175" s="39">
        <v>0.94</v>
      </c>
      <c r="Z175" s="3">
        <f t="shared" si="24"/>
        <v>2025</v>
      </c>
      <c r="AA175" s="21">
        <f>+MEDIAN(Tabla4[[#This Row],[kwreal 6]:[kwreal 9]])</f>
        <v>520.27500000000009</v>
      </c>
      <c r="AB175" s="21">
        <f>+Tabla4[[#This Row],[LineaBase-FD]]/350</f>
        <v>1.4865000000000002</v>
      </c>
    </row>
    <row r="176" spans="1:28" x14ac:dyDescent="0.3">
      <c r="A176" s="28">
        <v>66526</v>
      </c>
      <c r="B176" s="3">
        <v>25076</v>
      </c>
      <c r="C176" s="3">
        <v>8286</v>
      </c>
      <c r="D176" s="3">
        <v>30231</v>
      </c>
      <c r="E176" s="3">
        <v>2932</v>
      </c>
      <c r="F176" s="77">
        <v>1.536</v>
      </c>
      <c r="G176" s="77">
        <v>1.4670000000000001</v>
      </c>
      <c r="H176" s="77">
        <v>1.506</v>
      </c>
      <c r="I176" s="77">
        <v>1.355</v>
      </c>
      <c r="J176" s="3">
        <v>22493</v>
      </c>
      <c r="K176" s="10">
        <v>0.32361111111111113</v>
      </c>
      <c r="L176" s="5">
        <f t="shared" si="25"/>
        <v>45805</v>
      </c>
      <c r="M176" s="3">
        <v>0.97</v>
      </c>
      <c r="N176" s="22">
        <v>1.1870000000000001</v>
      </c>
      <c r="O176" s="22">
        <f>+MAX(Tabla4[[#This Row],[6KWA]:[9KWA]])</f>
        <v>1.536</v>
      </c>
      <c r="P176" s="3">
        <f t="shared" si="17"/>
        <v>28</v>
      </c>
      <c r="Q176" s="3">
        <f t="shared" si="18"/>
        <v>5</v>
      </c>
      <c r="R176" s="3">
        <f t="shared" si="19"/>
        <v>22</v>
      </c>
      <c r="S176" s="3" t="str">
        <f t="shared" si="20"/>
        <v>mayo</v>
      </c>
      <c r="T176" s="21">
        <f t="shared" si="21"/>
        <v>537.6</v>
      </c>
      <c r="U176" s="21">
        <f t="shared" si="22"/>
        <v>513.45000000000005</v>
      </c>
      <c r="V176" s="21">
        <f t="shared" si="23"/>
        <v>527.1</v>
      </c>
      <c r="W176" s="21">
        <f>+Tabla4[[#This Row],[9KWA]]*350</f>
        <v>474.25</v>
      </c>
      <c r="X176" s="21">
        <f>350*Tabla4[[#This Row],[Max Factor Medido]]</f>
        <v>537.6</v>
      </c>
      <c r="Y176" s="39">
        <v>0.94</v>
      </c>
      <c r="Z176" s="3">
        <f t="shared" si="24"/>
        <v>2025</v>
      </c>
      <c r="AA176" s="21">
        <f>+MEDIAN(Tabla4[[#This Row],[kwreal 6]:[kwreal 9]])</f>
        <v>520.27500000000009</v>
      </c>
      <c r="AB176" s="21">
        <f>+Tabla4[[#This Row],[LineaBase-FD]]/350</f>
        <v>1.4865000000000002</v>
      </c>
    </row>
    <row r="177" spans="1:28" x14ac:dyDescent="0.3">
      <c r="A177" s="28">
        <v>66553</v>
      </c>
      <c r="B177" s="3">
        <v>25088</v>
      </c>
      <c r="C177" s="3">
        <v>8291</v>
      </c>
      <c r="D177" s="3">
        <v>30241</v>
      </c>
      <c r="E177" s="3">
        <v>2932</v>
      </c>
      <c r="F177" s="77">
        <v>1.536</v>
      </c>
      <c r="G177" s="77">
        <v>1.4670000000000001</v>
      </c>
      <c r="H177" s="77">
        <v>1.506</v>
      </c>
      <c r="I177" s="77">
        <v>1.355</v>
      </c>
      <c r="J177" s="3">
        <v>22500</v>
      </c>
      <c r="K177" s="10">
        <v>0.29583333333333334</v>
      </c>
      <c r="L177" s="5">
        <f t="shared" si="25"/>
        <v>45806</v>
      </c>
      <c r="M177" s="3">
        <v>0.97</v>
      </c>
      <c r="N177" s="22">
        <v>1.212</v>
      </c>
      <c r="O177" s="22">
        <f>+MAX(Tabla4[[#This Row],[6KWA]:[9KWA]])</f>
        <v>1.536</v>
      </c>
      <c r="P177" s="3">
        <f t="shared" si="17"/>
        <v>29</v>
      </c>
      <c r="Q177" s="3">
        <f t="shared" si="18"/>
        <v>5</v>
      </c>
      <c r="R177" s="3">
        <f t="shared" si="19"/>
        <v>22</v>
      </c>
      <c r="S177" s="3" t="str">
        <f t="shared" si="20"/>
        <v>mayo</v>
      </c>
      <c r="T177" s="21">
        <f t="shared" si="21"/>
        <v>537.6</v>
      </c>
      <c r="U177" s="21">
        <f t="shared" si="22"/>
        <v>513.45000000000005</v>
      </c>
      <c r="V177" s="21">
        <f t="shared" si="23"/>
        <v>527.1</v>
      </c>
      <c r="W177" s="21">
        <f>+Tabla4[[#This Row],[9KWA]]*350</f>
        <v>474.25</v>
      </c>
      <c r="X177" s="21">
        <f>350*Tabla4[[#This Row],[Max Factor Medido]]</f>
        <v>537.6</v>
      </c>
      <c r="Y177" s="39">
        <v>0.94</v>
      </c>
      <c r="Z177" s="3">
        <f t="shared" si="24"/>
        <v>2025</v>
      </c>
      <c r="AA177" s="21">
        <f>+MEDIAN(Tabla4[[#This Row],[kwreal 6]:[kwreal 9]])</f>
        <v>520.27500000000009</v>
      </c>
      <c r="AB177" s="21">
        <f>+Tabla4[[#This Row],[LineaBase-FD]]/350</f>
        <v>1.4865000000000002</v>
      </c>
    </row>
    <row r="178" spans="1:28" x14ac:dyDescent="0.3">
      <c r="A178" s="28">
        <v>66581</v>
      </c>
      <c r="B178" s="3">
        <v>25100</v>
      </c>
      <c r="C178" s="3">
        <v>8296</v>
      </c>
      <c r="D178" s="3">
        <v>30252</v>
      </c>
      <c r="E178" s="3">
        <v>2932</v>
      </c>
      <c r="F178" s="77">
        <v>1.536</v>
      </c>
      <c r="G178" s="77">
        <v>1.4670000000000001</v>
      </c>
      <c r="H178" s="77">
        <v>1.506</v>
      </c>
      <c r="I178" s="77">
        <v>1.355</v>
      </c>
      <c r="J178" s="3">
        <v>22507</v>
      </c>
      <c r="K178" s="10">
        <v>0.29305555555555557</v>
      </c>
      <c r="L178" s="5">
        <f t="shared" si="25"/>
        <v>45807</v>
      </c>
      <c r="M178" s="3">
        <v>0.95</v>
      </c>
      <c r="N178" s="22">
        <v>1.129</v>
      </c>
      <c r="O178" s="22">
        <f>+MAX(Tabla4[[#This Row],[6KWA]:[9KWA]])</f>
        <v>1.536</v>
      </c>
      <c r="P178" s="3">
        <f t="shared" si="17"/>
        <v>30</v>
      </c>
      <c r="Q178" s="3">
        <f t="shared" si="18"/>
        <v>5</v>
      </c>
      <c r="R178" s="3">
        <f t="shared" si="19"/>
        <v>22</v>
      </c>
      <c r="S178" s="3" t="str">
        <f t="shared" si="20"/>
        <v>mayo</v>
      </c>
      <c r="T178" s="21">
        <f t="shared" si="21"/>
        <v>537.6</v>
      </c>
      <c r="U178" s="21">
        <f t="shared" si="22"/>
        <v>513.45000000000005</v>
      </c>
      <c r="V178" s="21">
        <f t="shared" si="23"/>
        <v>527.1</v>
      </c>
      <c r="W178" s="21">
        <f>+Tabla4[[#This Row],[9KWA]]*350</f>
        <v>474.25</v>
      </c>
      <c r="X178" s="21">
        <f>350*Tabla4[[#This Row],[Max Factor Medido]]</f>
        <v>537.6</v>
      </c>
      <c r="Y178" s="39">
        <v>0.94</v>
      </c>
      <c r="Z178" s="3">
        <f t="shared" si="24"/>
        <v>2025</v>
      </c>
      <c r="AA178" s="21">
        <f>+MEDIAN(Tabla4[[#This Row],[kwreal 6]:[kwreal 9]])</f>
        <v>520.27500000000009</v>
      </c>
      <c r="AB178" s="21">
        <f>+Tabla4[[#This Row],[LineaBase-FD]]/350</f>
        <v>1.4865000000000002</v>
      </c>
    </row>
    <row r="179" spans="1:28" x14ac:dyDescent="0.3">
      <c r="A179" s="28">
        <v>66609</v>
      </c>
      <c r="B179" s="3">
        <v>25112</v>
      </c>
      <c r="C179" s="3">
        <v>8301</v>
      </c>
      <c r="D179" s="3">
        <v>30263</v>
      </c>
      <c r="E179" s="3">
        <v>2932</v>
      </c>
      <c r="F179" s="77">
        <v>1.536</v>
      </c>
      <c r="G179" s="77">
        <v>1.4670000000000001</v>
      </c>
      <c r="H179" s="77">
        <v>1.506</v>
      </c>
      <c r="I179" s="77">
        <v>1.355</v>
      </c>
      <c r="J179" s="3">
        <v>22514</v>
      </c>
      <c r="K179" s="10">
        <v>0.3125</v>
      </c>
      <c r="L179" s="5">
        <f t="shared" si="25"/>
        <v>45808</v>
      </c>
      <c r="M179" s="3">
        <v>0.95</v>
      </c>
      <c r="N179" s="22">
        <v>1.016</v>
      </c>
      <c r="O179" s="22">
        <f>+MAX(Tabla4[[#This Row],[6KWA]:[9KWA]])</f>
        <v>1.536</v>
      </c>
      <c r="P179" s="3">
        <f t="shared" si="17"/>
        <v>31</v>
      </c>
      <c r="Q179" s="3">
        <f t="shared" si="18"/>
        <v>5</v>
      </c>
      <c r="R179" s="3">
        <f t="shared" si="19"/>
        <v>22</v>
      </c>
      <c r="S179" s="3" t="str">
        <f t="shared" si="20"/>
        <v>mayo</v>
      </c>
      <c r="T179" s="21">
        <f t="shared" si="21"/>
        <v>537.6</v>
      </c>
      <c r="U179" s="21">
        <f t="shared" si="22"/>
        <v>513.45000000000005</v>
      </c>
      <c r="V179" s="21">
        <f t="shared" si="23"/>
        <v>527.1</v>
      </c>
      <c r="W179" s="21">
        <f>+Tabla4[[#This Row],[9KWA]]*350</f>
        <v>474.25</v>
      </c>
      <c r="X179" s="21">
        <f>350*Tabla4[[#This Row],[Max Factor Medido]]</f>
        <v>537.6</v>
      </c>
      <c r="Y179" s="39">
        <v>0.94</v>
      </c>
      <c r="Z179" s="3">
        <f t="shared" si="24"/>
        <v>2025</v>
      </c>
      <c r="AA179" s="21">
        <f>+MEDIAN(Tabla4[[#This Row],[kwreal 6]:[kwreal 9]])</f>
        <v>520.27500000000009</v>
      </c>
      <c r="AB179" s="21">
        <f>+Tabla4[[#This Row],[LineaBase-FD]]/350</f>
        <v>1.4865000000000002</v>
      </c>
    </row>
    <row r="180" spans="1:28" x14ac:dyDescent="0.3">
      <c r="A180" s="28">
        <v>66638</v>
      </c>
      <c r="B180" s="3">
        <v>25125</v>
      </c>
      <c r="C180" s="3">
        <v>8306</v>
      </c>
      <c r="D180" s="3">
        <v>30275</v>
      </c>
      <c r="E180" s="3">
        <v>2932</v>
      </c>
      <c r="F180" s="77">
        <v>1.536</v>
      </c>
      <c r="G180" s="77">
        <v>1.4670000000000001</v>
      </c>
      <c r="H180" s="77">
        <v>1.506</v>
      </c>
      <c r="I180" s="77">
        <v>1.355</v>
      </c>
      <c r="J180" s="3">
        <v>22522</v>
      </c>
      <c r="K180" s="10">
        <v>0.2986111111111111</v>
      </c>
      <c r="L180" s="5">
        <f t="shared" si="25"/>
        <v>45809</v>
      </c>
      <c r="M180" s="3">
        <v>0.98</v>
      </c>
      <c r="N180" s="22">
        <v>1.03</v>
      </c>
      <c r="O180" s="22">
        <f>+MAX(Tabla4[[#This Row],[6KWA]:[9KWA]])</f>
        <v>1.536</v>
      </c>
      <c r="P180" s="3">
        <f t="shared" si="17"/>
        <v>1</v>
      </c>
      <c r="Q180" s="3">
        <f t="shared" si="18"/>
        <v>6</v>
      </c>
      <c r="R180" s="3">
        <f t="shared" si="19"/>
        <v>23</v>
      </c>
      <c r="S180" s="3" t="str">
        <f t="shared" si="20"/>
        <v>junio</v>
      </c>
      <c r="T180" s="21">
        <f t="shared" si="21"/>
        <v>537.6</v>
      </c>
      <c r="U180" s="21">
        <f t="shared" si="22"/>
        <v>513.45000000000005</v>
      </c>
      <c r="V180" s="21">
        <f t="shared" si="23"/>
        <v>527.1</v>
      </c>
      <c r="W180" s="21">
        <f>+Tabla4[[#This Row],[9KWA]]*350</f>
        <v>474.25</v>
      </c>
      <c r="X180" s="21">
        <f>350*Tabla4[[#This Row],[Max Factor Medido]]</f>
        <v>537.6</v>
      </c>
      <c r="Y180" s="39">
        <v>0.94</v>
      </c>
      <c r="Z180" s="3">
        <f t="shared" si="24"/>
        <v>2025</v>
      </c>
      <c r="AA180" s="21">
        <f>+MEDIAN(Tabla4[[#This Row],[kwreal 6]:[kwreal 9]])</f>
        <v>520.27500000000009</v>
      </c>
      <c r="AB180" s="21">
        <f>+Tabla4[[#This Row],[LineaBase-FD]]/350</f>
        <v>1.4865000000000002</v>
      </c>
    </row>
    <row r="181" spans="1:28" x14ac:dyDescent="0.3">
      <c r="A181" s="28">
        <v>66667</v>
      </c>
      <c r="B181" s="3">
        <v>25125</v>
      </c>
      <c r="C181" s="3">
        <v>8306</v>
      </c>
      <c r="D181" s="3">
        <v>30298</v>
      </c>
      <c r="E181" s="3">
        <v>2936</v>
      </c>
      <c r="F181" s="77">
        <v>1.536</v>
      </c>
      <c r="G181" s="77">
        <v>1.4670000000000001</v>
      </c>
      <c r="H181" s="77">
        <v>1.506</v>
      </c>
      <c r="I181" s="77">
        <v>1.355</v>
      </c>
      <c r="J181" s="3">
        <v>22531</v>
      </c>
      <c r="K181" s="10">
        <v>0.29236111111111113</v>
      </c>
      <c r="L181" s="5">
        <f t="shared" si="25"/>
        <v>45810</v>
      </c>
      <c r="M181" s="3">
        <v>0.92</v>
      </c>
      <c r="N181" s="22">
        <v>1.1850000000000001</v>
      </c>
      <c r="O181" s="22">
        <f>+MAX(Tabla4[[#This Row],[6KWA]:[9KWA]])</f>
        <v>1.536</v>
      </c>
      <c r="P181" s="3">
        <f t="shared" si="17"/>
        <v>2</v>
      </c>
      <c r="Q181" s="3">
        <f t="shared" si="18"/>
        <v>6</v>
      </c>
      <c r="R181" s="3">
        <f t="shared" si="19"/>
        <v>23</v>
      </c>
      <c r="S181" s="3" t="str">
        <f t="shared" si="20"/>
        <v>junio</v>
      </c>
      <c r="T181" s="21">
        <f t="shared" si="21"/>
        <v>537.6</v>
      </c>
      <c r="U181" s="21">
        <f t="shared" si="22"/>
        <v>513.45000000000005</v>
      </c>
      <c r="V181" s="21">
        <f t="shared" si="23"/>
        <v>527.1</v>
      </c>
      <c r="W181" s="21">
        <f>+Tabla4[[#This Row],[9KWA]]*350</f>
        <v>474.25</v>
      </c>
      <c r="X181" s="21">
        <f>350*Tabla4[[#This Row],[Max Factor Medido]]</f>
        <v>537.6</v>
      </c>
      <c r="Y181" s="39">
        <v>0.94</v>
      </c>
      <c r="Z181" s="3">
        <f t="shared" si="24"/>
        <v>2025</v>
      </c>
      <c r="AA181" s="21">
        <f>+MEDIAN(Tabla4[[#This Row],[kwreal 6]:[kwreal 9]])</f>
        <v>520.27500000000009</v>
      </c>
      <c r="AB181" s="21">
        <f>+Tabla4[[#This Row],[LineaBase-FD]]/350</f>
        <v>1.4865000000000002</v>
      </c>
    </row>
    <row r="182" spans="1:28" x14ac:dyDescent="0.3">
      <c r="A182" s="28">
        <v>66694</v>
      </c>
      <c r="B182" s="3">
        <v>25125</v>
      </c>
      <c r="C182" s="3">
        <v>8306</v>
      </c>
      <c r="D182" s="3">
        <v>30321</v>
      </c>
      <c r="E182" s="3">
        <v>2941</v>
      </c>
      <c r="F182" s="77">
        <v>1.536</v>
      </c>
      <c r="G182" s="77">
        <v>1.4670000000000001</v>
      </c>
      <c r="H182" s="77">
        <v>1.506</v>
      </c>
      <c r="I182" s="77">
        <v>1.355</v>
      </c>
      <c r="J182" s="3">
        <v>225339</v>
      </c>
      <c r="K182" s="10">
        <v>0.29444444444444445</v>
      </c>
      <c r="L182" s="5">
        <f t="shared" si="25"/>
        <v>45811</v>
      </c>
      <c r="M182" s="3">
        <v>0.94</v>
      </c>
      <c r="N182" s="22">
        <v>1.056</v>
      </c>
      <c r="O182" s="22">
        <f>+MAX(Tabla4[[#This Row],[6KWA]:[9KWA]])</f>
        <v>1.536</v>
      </c>
      <c r="P182" s="3">
        <f t="shared" si="17"/>
        <v>3</v>
      </c>
      <c r="Q182" s="3">
        <f t="shared" si="18"/>
        <v>6</v>
      </c>
      <c r="R182" s="3">
        <f t="shared" si="19"/>
        <v>23</v>
      </c>
      <c r="S182" s="3" t="str">
        <f t="shared" si="20"/>
        <v>junio</v>
      </c>
      <c r="T182" s="21">
        <f t="shared" si="21"/>
        <v>537.6</v>
      </c>
      <c r="U182" s="21">
        <f t="shared" si="22"/>
        <v>513.45000000000005</v>
      </c>
      <c r="V182" s="21">
        <f t="shared" si="23"/>
        <v>527.1</v>
      </c>
      <c r="W182" s="21">
        <f>+Tabla4[[#This Row],[9KWA]]*350</f>
        <v>474.25</v>
      </c>
      <c r="X182" s="21">
        <f>350*Tabla4[[#This Row],[Max Factor Medido]]</f>
        <v>537.6</v>
      </c>
      <c r="Y182" s="39">
        <v>0.94</v>
      </c>
      <c r="Z182" s="3">
        <f t="shared" si="24"/>
        <v>2025</v>
      </c>
      <c r="AA182" s="21">
        <f>+MEDIAN(Tabla4[[#This Row],[kwreal 6]:[kwreal 9]])</f>
        <v>520.27500000000009</v>
      </c>
      <c r="AB182" s="21">
        <f>+Tabla4[[#This Row],[LineaBase-FD]]/350</f>
        <v>1.4865000000000002</v>
      </c>
    </row>
    <row r="183" spans="1:28" x14ac:dyDescent="0.3">
      <c r="A183" s="28">
        <v>66723</v>
      </c>
      <c r="B183" s="3">
        <v>25137</v>
      </c>
      <c r="C183" s="3">
        <v>8311</v>
      </c>
      <c r="D183" s="3">
        <v>30333</v>
      </c>
      <c r="E183" s="3">
        <v>2941</v>
      </c>
      <c r="F183" s="77">
        <v>0</v>
      </c>
      <c r="G183" s="77">
        <v>0</v>
      </c>
      <c r="H183" s="77">
        <v>1.238</v>
      </c>
      <c r="I183" s="77">
        <v>0</v>
      </c>
      <c r="J183" s="3">
        <v>22547</v>
      </c>
      <c r="K183" s="15">
        <v>0.29583333333333334</v>
      </c>
      <c r="L183" s="5">
        <v>45839</v>
      </c>
      <c r="M183" s="3">
        <v>0.96</v>
      </c>
      <c r="N183" s="22">
        <v>1.1020000000000001</v>
      </c>
      <c r="O183" s="22">
        <f>+MAX(Tabla4[[#This Row],[6KWA]:[9KWA]])</f>
        <v>1.238</v>
      </c>
      <c r="P183" s="3">
        <f t="shared" si="17"/>
        <v>1</v>
      </c>
      <c r="Q183" s="3">
        <f t="shared" si="18"/>
        <v>7</v>
      </c>
      <c r="R183" s="3">
        <f t="shared" si="19"/>
        <v>27</v>
      </c>
      <c r="S183" s="3" t="str">
        <f t="shared" si="20"/>
        <v>julio</v>
      </c>
      <c r="T183" s="21">
        <f t="shared" si="21"/>
        <v>0</v>
      </c>
      <c r="U183" s="21">
        <f t="shared" si="22"/>
        <v>0</v>
      </c>
      <c r="V183" s="21">
        <f t="shared" si="23"/>
        <v>433.3</v>
      </c>
      <c r="W183" s="21">
        <f>+Tabla4[[#This Row],[9KWA]]*350</f>
        <v>0</v>
      </c>
      <c r="X183" s="21">
        <f>350*Tabla4[[#This Row],[Max Factor Medido]]</f>
        <v>433.3</v>
      </c>
      <c r="Y183" s="39">
        <v>0.94</v>
      </c>
      <c r="Z183" s="3">
        <f t="shared" si="24"/>
        <v>2025</v>
      </c>
      <c r="AA183" s="21">
        <f>+MEDIAN(Tabla4[[#This Row],[kwreal 6]:[kwreal 9]])</f>
        <v>0</v>
      </c>
      <c r="AB183" s="21">
        <f>+Tabla4[[#This Row],[LineaBase-FD]]/350</f>
        <v>0</v>
      </c>
    </row>
    <row r="184" spans="1:28" x14ac:dyDescent="0.3">
      <c r="A184" s="29">
        <v>66751</v>
      </c>
      <c r="B184" s="2">
        <v>25150</v>
      </c>
      <c r="C184" s="2">
        <v>8315</v>
      </c>
      <c r="D184" s="2">
        <v>30344</v>
      </c>
      <c r="E184" s="2">
        <v>2941</v>
      </c>
      <c r="F184" s="77">
        <v>1.375</v>
      </c>
      <c r="G184" s="77">
        <v>1.389</v>
      </c>
      <c r="H184" s="77">
        <v>1.268</v>
      </c>
      <c r="I184" s="77">
        <v>0</v>
      </c>
      <c r="J184" s="2">
        <v>22555</v>
      </c>
      <c r="K184" s="7">
        <v>0.30555555555555558</v>
      </c>
      <c r="L184" s="6">
        <f t="shared" ref="L184:L213" si="26">L183+1</f>
        <v>45840</v>
      </c>
      <c r="M184" s="2">
        <v>0.98</v>
      </c>
      <c r="N184" s="22">
        <v>9.6999999999999993</v>
      </c>
      <c r="O184" s="22">
        <f>+MAX(Tabla4[[#This Row],[6KWA]:[9KWA]])</f>
        <v>1.389</v>
      </c>
      <c r="P184" s="3">
        <f t="shared" si="17"/>
        <v>2</v>
      </c>
      <c r="Q184" s="3">
        <f t="shared" si="18"/>
        <v>7</v>
      </c>
      <c r="R184" s="3">
        <f t="shared" si="19"/>
        <v>27</v>
      </c>
      <c r="S184" s="3" t="str">
        <f t="shared" si="20"/>
        <v>julio</v>
      </c>
      <c r="T184" s="21">
        <f t="shared" si="21"/>
        <v>481.25</v>
      </c>
      <c r="U184" s="21">
        <f t="shared" si="22"/>
        <v>486.15</v>
      </c>
      <c r="V184" s="21">
        <f t="shared" si="23"/>
        <v>443.8</v>
      </c>
      <c r="W184" s="21">
        <f>+Tabla4[[#This Row],[9KWA]]*350</f>
        <v>0</v>
      </c>
      <c r="X184" s="21">
        <f>350*Tabla4[[#This Row],[Max Factor Medido]]</f>
        <v>486.15</v>
      </c>
      <c r="Y184" s="39">
        <v>0.94</v>
      </c>
      <c r="Z184" s="3">
        <f t="shared" si="24"/>
        <v>2025</v>
      </c>
      <c r="AA184" s="21">
        <f>+MEDIAN(Tabla4[[#This Row],[kwreal 6]:[kwreal 9]])</f>
        <v>462.52499999999998</v>
      </c>
      <c r="AB184" s="21">
        <f>+Tabla4[[#This Row],[LineaBase-FD]]/350</f>
        <v>1.3214999999999999</v>
      </c>
    </row>
    <row r="185" spans="1:28" x14ac:dyDescent="0.3">
      <c r="A185" s="28">
        <v>66780</v>
      </c>
      <c r="B185" s="3">
        <v>25162</v>
      </c>
      <c r="C185" s="3">
        <v>8320</v>
      </c>
      <c r="D185" s="3">
        <v>30355</v>
      </c>
      <c r="E185" s="3">
        <v>2941</v>
      </c>
      <c r="F185" s="77">
        <v>1.4550000000000001</v>
      </c>
      <c r="G185" s="77">
        <v>1.3919999999999999</v>
      </c>
      <c r="H185" s="77">
        <v>1.28</v>
      </c>
      <c r="I185" s="77">
        <v>0</v>
      </c>
      <c r="J185" s="3">
        <v>22562</v>
      </c>
      <c r="K185" s="15">
        <v>0.3034722222222222</v>
      </c>
      <c r="L185" s="5">
        <f t="shared" si="26"/>
        <v>45841</v>
      </c>
      <c r="M185" s="3">
        <v>0.94</v>
      </c>
      <c r="N185" s="22">
        <v>1.137</v>
      </c>
      <c r="O185" s="22">
        <f>+MAX(Tabla4[[#This Row],[6KWA]:[9KWA]])</f>
        <v>1.4550000000000001</v>
      </c>
      <c r="P185" s="3">
        <f t="shared" si="17"/>
        <v>3</v>
      </c>
      <c r="Q185" s="3">
        <f t="shared" si="18"/>
        <v>7</v>
      </c>
      <c r="R185" s="3">
        <f t="shared" si="19"/>
        <v>27</v>
      </c>
      <c r="S185" s="3" t="str">
        <f t="shared" si="20"/>
        <v>julio</v>
      </c>
      <c r="T185" s="21">
        <f t="shared" si="21"/>
        <v>509.25</v>
      </c>
      <c r="U185" s="21">
        <f t="shared" si="22"/>
        <v>487.2</v>
      </c>
      <c r="V185" s="21">
        <f t="shared" si="23"/>
        <v>448</v>
      </c>
      <c r="W185" s="21">
        <f>+Tabla4[[#This Row],[9KWA]]*350</f>
        <v>0</v>
      </c>
      <c r="X185" s="21">
        <f>350*Tabla4[[#This Row],[Max Factor Medido]]</f>
        <v>509.25</v>
      </c>
      <c r="Y185" s="39">
        <v>0.94</v>
      </c>
      <c r="Z185" s="3">
        <f t="shared" si="24"/>
        <v>2025</v>
      </c>
      <c r="AA185" s="21">
        <f>+MEDIAN(Tabla4[[#This Row],[kwreal 6]:[kwreal 9]])</f>
        <v>467.6</v>
      </c>
      <c r="AB185" s="21">
        <f>+Tabla4[[#This Row],[LineaBase-FD]]/350</f>
        <v>1.3360000000000001</v>
      </c>
    </row>
    <row r="186" spans="1:28" x14ac:dyDescent="0.3">
      <c r="A186" s="29">
        <v>66799</v>
      </c>
      <c r="B186" s="2">
        <v>25170</v>
      </c>
      <c r="C186" s="2">
        <v>8320</v>
      </c>
      <c r="D186" s="2">
        <v>30366</v>
      </c>
      <c r="E186" s="2">
        <v>2941</v>
      </c>
      <c r="F186" s="77">
        <v>1.4550000000000001</v>
      </c>
      <c r="G186" s="77">
        <v>1.3919999999999999</v>
      </c>
      <c r="H186" s="77">
        <v>1.49</v>
      </c>
      <c r="I186" s="77">
        <v>0</v>
      </c>
      <c r="J186" s="2">
        <v>22570</v>
      </c>
      <c r="K186" s="7">
        <v>0.29375000000000001</v>
      </c>
      <c r="L186" s="6">
        <f t="shared" si="26"/>
        <v>45842</v>
      </c>
      <c r="M186" s="2">
        <v>0.84</v>
      </c>
      <c r="N186" s="22">
        <v>1.198</v>
      </c>
      <c r="O186" s="22">
        <f>+MAX(Tabla4[[#This Row],[6KWA]:[9KWA]])</f>
        <v>1.49</v>
      </c>
      <c r="P186" s="3">
        <f t="shared" si="17"/>
        <v>4</v>
      </c>
      <c r="Q186" s="3">
        <f t="shared" si="18"/>
        <v>7</v>
      </c>
      <c r="R186" s="3">
        <f t="shared" si="19"/>
        <v>27</v>
      </c>
      <c r="S186" s="3" t="str">
        <f t="shared" si="20"/>
        <v>julio</v>
      </c>
      <c r="T186" s="21">
        <f t="shared" si="21"/>
        <v>509.25</v>
      </c>
      <c r="U186" s="21">
        <f t="shared" si="22"/>
        <v>487.2</v>
      </c>
      <c r="V186" s="21">
        <f t="shared" si="23"/>
        <v>521.5</v>
      </c>
      <c r="W186" s="21">
        <f>+Tabla4[[#This Row],[9KWA]]*350</f>
        <v>0</v>
      </c>
      <c r="X186" s="21">
        <f>350*Tabla4[[#This Row],[Max Factor Medido]]</f>
        <v>521.5</v>
      </c>
      <c r="Y186" s="39">
        <v>0.94</v>
      </c>
      <c r="Z186" s="3">
        <f t="shared" si="24"/>
        <v>2025</v>
      </c>
      <c r="AA186" s="21">
        <f>+MEDIAN(Tabla4[[#This Row],[kwreal 6]:[kwreal 9]])</f>
        <v>498.22500000000002</v>
      </c>
      <c r="AB186" s="21">
        <f>+Tabla4[[#This Row],[LineaBase-FD]]/350</f>
        <v>1.4235</v>
      </c>
    </row>
    <row r="187" spans="1:28" x14ac:dyDescent="0.3">
      <c r="A187" s="29">
        <v>66817</v>
      </c>
      <c r="B187" s="2">
        <v>25176</v>
      </c>
      <c r="C187" s="2">
        <v>8320</v>
      </c>
      <c r="D187" s="2">
        <v>30378</v>
      </c>
      <c r="E187" s="2">
        <v>2941</v>
      </c>
      <c r="F187" s="77">
        <v>1.4550000000000001</v>
      </c>
      <c r="G187" s="77">
        <v>1.3919999999999999</v>
      </c>
      <c r="H187" s="77">
        <v>1.49</v>
      </c>
      <c r="I187" s="77">
        <v>0</v>
      </c>
      <c r="J187" s="2">
        <v>22575</v>
      </c>
      <c r="K187" s="7">
        <v>0.29166666666666669</v>
      </c>
      <c r="L187" s="6">
        <f t="shared" si="26"/>
        <v>45843</v>
      </c>
      <c r="M187" s="2">
        <v>0.93</v>
      </c>
      <c r="N187" s="22">
        <v>1.2450000000000001</v>
      </c>
      <c r="O187" s="22">
        <f>+MAX(Tabla4[[#This Row],[6KWA]:[9KWA]])</f>
        <v>1.49</v>
      </c>
      <c r="P187" s="3">
        <f t="shared" si="17"/>
        <v>5</v>
      </c>
      <c r="Q187" s="3">
        <f t="shared" si="18"/>
        <v>7</v>
      </c>
      <c r="R187" s="3">
        <f t="shared" si="19"/>
        <v>27</v>
      </c>
      <c r="S187" s="3" t="str">
        <f t="shared" si="20"/>
        <v>julio</v>
      </c>
      <c r="T187" s="21">
        <f t="shared" si="21"/>
        <v>509.25</v>
      </c>
      <c r="U187" s="21">
        <f t="shared" si="22"/>
        <v>487.2</v>
      </c>
      <c r="V187" s="21">
        <f t="shared" si="23"/>
        <v>521.5</v>
      </c>
      <c r="W187" s="21">
        <f>+Tabla4[[#This Row],[9KWA]]*350</f>
        <v>0</v>
      </c>
      <c r="X187" s="21">
        <f>350*Tabla4[[#This Row],[Max Factor Medido]]</f>
        <v>521.5</v>
      </c>
      <c r="Y187" s="39">
        <v>0.94</v>
      </c>
      <c r="Z187" s="3">
        <f t="shared" si="24"/>
        <v>2025</v>
      </c>
      <c r="AA187" s="21">
        <f>+MEDIAN(Tabla4[[#This Row],[kwreal 6]:[kwreal 9]])</f>
        <v>498.22500000000002</v>
      </c>
      <c r="AB187" s="21">
        <f>+Tabla4[[#This Row],[LineaBase-FD]]/350</f>
        <v>1.4235</v>
      </c>
    </row>
    <row r="188" spans="1:28" x14ac:dyDescent="0.3">
      <c r="A188" s="28">
        <v>66844</v>
      </c>
      <c r="B188" s="3">
        <v>25176</v>
      </c>
      <c r="C188" s="3">
        <v>8320</v>
      </c>
      <c r="D188" s="3">
        <v>30401</v>
      </c>
      <c r="E188" s="3">
        <v>2946</v>
      </c>
      <c r="F188" s="77">
        <v>1.4550000000000001</v>
      </c>
      <c r="G188" s="77">
        <v>1.3919999999999999</v>
      </c>
      <c r="H188" s="77">
        <v>1.49</v>
      </c>
      <c r="I188" s="77">
        <v>1.2889999999999999</v>
      </c>
      <c r="J188" s="3">
        <v>22584</v>
      </c>
      <c r="K188" s="15">
        <v>0.29236111111111113</v>
      </c>
      <c r="L188" s="5">
        <f t="shared" si="26"/>
        <v>45844</v>
      </c>
      <c r="M188" s="3">
        <v>0.96</v>
      </c>
      <c r="N188" s="22">
        <v>1.05</v>
      </c>
      <c r="O188" s="22">
        <f>+MAX(Tabla4[[#This Row],[6KWA]:[9KWA]])</f>
        <v>1.49</v>
      </c>
      <c r="P188" s="3">
        <f t="shared" si="17"/>
        <v>6</v>
      </c>
      <c r="Q188" s="3">
        <f t="shared" si="18"/>
        <v>7</v>
      </c>
      <c r="R188" s="3">
        <f t="shared" si="19"/>
        <v>28</v>
      </c>
      <c r="S188" s="3" t="str">
        <f t="shared" si="20"/>
        <v>julio</v>
      </c>
      <c r="T188" s="21">
        <f t="shared" si="21"/>
        <v>509.25</v>
      </c>
      <c r="U188" s="21">
        <f t="shared" si="22"/>
        <v>487.2</v>
      </c>
      <c r="V188" s="21">
        <f t="shared" si="23"/>
        <v>521.5</v>
      </c>
      <c r="W188" s="21">
        <f>+Tabla4[[#This Row],[9KWA]]*350</f>
        <v>451.15</v>
      </c>
      <c r="X188" s="21">
        <f>350*Tabla4[[#This Row],[Max Factor Medido]]</f>
        <v>521.5</v>
      </c>
      <c r="Y188" s="39">
        <v>0.94</v>
      </c>
      <c r="Z188" s="3">
        <f t="shared" si="24"/>
        <v>2025</v>
      </c>
      <c r="AA188" s="21">
        <f>+MEDIAN(Tabla4[[#This Row],[kwreal 6]:[kwreal 9]])</f>
        <v>498.22500000000002</v>
      </c>
      <c r="AB188" s="21">
        <f>+Tabla4[[#This Row],[LineaBase-FD]]/350</f>
        <v>1.4235</v>
      </c>
    </row>
    <row r="189" spans="1:28" x14ac:dyDescent="0.3">
      <c r="A189" s="28">
        <v>66873</v>
      </c>
      <c r="B189" s="3">
        <v>25176</v>
      </c>
      <c r="C189" s="3">
        <v>8320</v>
      </c>
      <c r="D189" s="3">
        <v>30424</v>
      </c>
      <c r="E189" s="3">
        <v>2951</v>
      </c>
      <c r="F189" s="77">
        <v>1.4550000000000001</v>
      </c>
      <c r="G189" s="77">
        <v>1.3919999999999999</v>
      </c>
      <c r="H189" s="77">
        <v>1.49</v>
      </c>
      <c r="I189" s="77">
        <v>1.3089999999999999</v>
      </c>
      <c r="J189" s="3">
        <v>22593</v>
      </c>
      <c r="K189" s="15">
        <v>0.29652777777777778</v>
      </c>
      <c r="L189" s="5">
        <f t="shared" si="26"/>
        <v>45845</v>
      </c>
      <c r="M189" s="3">
        <v>0.96</v>
      </c>
      <c r="N189" s="22">
        <v>1.0620000000000001</v>
      </c>
      <c r="O189" s="22">
        <f>+MAX(Tabla4[[#This Row],[6KWA]:[9KWA]])</f>
        <v>1.49</v>
      </c>
      <c r="P189" s="3">
        <f t="shared" si="17"/>
        <v>7</v>
      </c>
      <c r="Q189" s="3">
        <f t="shared" si="18"/>
        <v>7</v>
      </c>
      <c r="R189" s="3">
        <f t="shared" si="19"/>
        <v>28</v>
      </c>
      <c r="S189" s="3" t="str">
        <f t="shared" si="20"/>
        <v>julio</v>
      </c>
      <c r="T189" s="21">
        <f t="shared" si="21"/>
        <v>509.25</v>
      </c>
      <c r="U189" s="21">
        <f t="shared" si="22"/>
        <v>487.2</v>
      </c>
      <c r="V189" s="21">
        <f t="shared" si="23"/>
        <v>521.5</v>
      </c>
      <c r="W189" s="21">
        <f>+Tabla4[[#This Row],[9KWA]]*350</f>
        <v>458.15</v>
      </c>
      <c r="X189" s="21">
        <f>350*Tabla4[[#This Row],[Max Factor Medido]]</f>
        <v>521.5</v>
      </c>
      <c r="Y189" s="39">
        <v>0.94</v>
      </c>
      <c r="Z189" s="3">
        <f t="shared" si="24"/>
        <v>2025</v>
      </c>
      <c r="AA189" s="21">
        <f>+MEDIAN(Tabla4[[#This Row],[kwreal 6]:[kwreal 9]])</f>
        <v>498.22500000000002</v>
      </c>
      <c r="AB189" s="21">
        <f>+Tabla4[[#This Row],[LineaBase-FD]]/350</f>
        <v>1.4235</v>
      </c>
    </row>
    <row r="190" spans="1:28" x14ac:dyDescent="0.3">
      <c r="A190" s="28">
        <v>66900</v>
      </c>
      <c r="B190" s="3">
        <v>25188</v>
      </c>
      <c r="C190" s="3">
        <v>8325</v>
      </c>
      <c r="D190" s="3">
        <v>30436</v>
      </c>
      <c r="E190" s="3">
        <v>2951</v>
      </c>
      <c r="F190" s="77">
        <v>1.4550000000000001</v>
      </c>
      <c r="G190" s="77">
        <v>1.3919999999999999</v>
      </c>
      <c r="H190" s="77">
        <v>1.49</v>
      </c>
      <c r="I190" s="77">
        <v>1.3089999999999999</v>
      </c>
      <c r="J190" s="3">
        <v>22601</v>
      </c>
      <c r="K190" s="15">
        <v>0.29791666666666666</v>
      </c>
      <c r="L190" s="5">
        <f t="shared" si="26"/>
        <v>45846</v>
      </c>
      <c r="M190" s="3">
        <v>0.96</v>
      </c>
      <c r="N190" s="22">
        <v>1.1850000000000001</v>
      </c>
      <c r="O190" s="22">
        <f>+MAX(Tabla4[[#This Row],[6KWA]:[9KWA]])</f>
        <v>1.49</v>
      </c>
      <c r="P190" s="3">
        <f t="shared" si="17"/>
        <v>8</v>
      </c>
      <c r="Q190" s="3">
        <f t="shared" si="18"/>
        <v>7</v>
      </c>
      <c r="R190" s="3">
        <f t="shared" si="19"/>
        <v>28</v>
      </c>
      <c r="S190" s="3" t="str">
        <f t="shared" si="20"/>
        <v>julio</v>
      </c>
      <c r="T190" s="21">
        <f t="shared" si="21"/>
        <v>509.25</v>
      </c>
      <c r="U190" s="21">
        <f t="shared" si="22"/>
        <v>487.2</v>
      </c>
      <c r="V190" s="21">
        <f t="shared" si="23"/>
        <v>521.5</v>
      </c>
      <c r="W190" s="21">
        <f>+Tabla4[[#This Row],[9KWA]]*350</f>
        <v>458.15</v>
      </c>
      <c r="X190" s="21">
        <f>350*Tabla4[[#This Row],[Max Factor Medido]]</f>
        <v>521.5</v>
      </c>
      <c r="Y190" s="39">
        <v>0.94</v>
      </c>
      <c r="Z190" s="3">
        <f t="shared" si="24"/>
        <v>2025</v>
      </c>
      <c r="AA190" s="21">
        <f>+MEDIAN(Tabla4[[#This Row],[kwreal 6]:[kwreal 9]])</f>
        <v>498.22500000000002</v>
      </c>
      <c r="AB190" s="21">
        <f>+Tabla4[[#This Row],[LineaBase-FD]]/350</f>
        <v>1.4235</v>
      </c>
    </row>
    <row r="191" spans="1:28" x14ac:dyDescent="0.3">
      <c r="A191" s="28">
        <v>66995</v>
      </c>
      <c r="B191" s="3">
        <v>25193</v>
      </c>
      <c r="C191" s="3">
        <v>8330</v>
      </c>
      <c r="D191" s="3">
        <v>30451</v>
      </c>
      <c r="E191" s="3">
        <v>2951</v>
      </c>
      <c r="F191" s="77">
        <v>1.4550000000000001</v>
      </c>
      <c r="G191" s="77">
        <v>1.3919999999999999</v>
      </c>
      <c r="H191" s="77">
        <v>1.49</v>
      </c>
      <c r="I191" s="77">
        <v>1.3089999999999999</v>
      </c>
      <c r="J191" s="3">
        <v>22613</v>
      </c>
      <c r="K191" s="15">
        <v>0.30555555555555558</v>
      </c>
      <c r="L191" s="5">
        <f t="shared" si="26"/>
        <v>45847</v>
      </c>
      <c r="M191" s="3">
        <v>0.96</v>
      </c>
      <c r="N191" s="22">
        <v>1.1910000000000001</v>
      </c>
      <c r="O191" s="22">
        <f>+MAX(Tabla4[[#This Row],[6KWA]:[9KWA]])</f>
        <v>1.49</v>
      </c>
      <c r="P191" s="3">
        <f t="shared" si="17"/>
        <v>9</v>
      </c>
      <c r="Q191" s="3">
        <f t="shared" si="18"/>
        <v>7</v>
      </c>
      <c r="R191" s="3">
        <f t="shared" si="19"/>
        <v>28</v>
      </c>
      <c r="S191" s="3" t="str">
        <f t="shared" si="20"/>
        <v>julio</v>
      </c>
      <c r="T191" s="21">
        <f t="shared" si="21"/>
        <v>509.25</v>
      </c>
      <c r="U191" s="21">
        <f t="shared" si="22"/>
        <v>487.2</v>
      </c>
      <c r="V191" s="21">
        <f t="shared" si="23"/>
        <v>521.5</v>
      </c>
      <c r="W191" s="21">
        <f>+Tabla4[[#This Row],[9KWA]]*350</f>
        <v>458.15</v>
      </c>
      <c r="X191" s="21">
        <f>350*Tabla4[[#This Row],[Max Factor Medido]]</f>
        <v>521.5</v>
      </c>
      <c r="Y191" s="39">
        <v>0.94</v>
      </c>
      <c r="Z191" s="3">
        <f t="shared" si="24"/>
        <v>2025</v>
      </c>
      <c r="AA191" s="21">
        <f>+MEDIAN(Tabla4[[#This Row],[kwreal 6]:[kwreal 9]])</f>
        <v>498.22500000000002</v>
      </c>
      <c r="AB191" s="21">
        <f>+Tabla4[[#This Row],[LineaBase-FD]]/350</f>
        <v>1.4235</v>
      </c>
    </row>
    <row r="192" spans="1:28" x14ac:dyDescent="0.3">
      <c r="A192" s="28">
        <v>66955</v>
      </c>
      <c r="B192" s="3">
        <v>25212</v>
      </c>
      <c r="C192" s="3">
        <v>8334</v>
      </c>
      <c r="D192" s="3">
        <v>30457</v>
      </c>
      <c r="E192" s="3">
        <v>2951</v>
      </c>
      <c r="F192" s="77">
        <v>1.4550000000000001</v>
      </c>
      <c r="G192" s="77">
        <v>1.3919999999999999</v>
      </c>
      <c r="H192" s="77">
        <v>1.49</v>
      </c>
      <c r="I192" s="77">
        <v>1.3089999999999999</v>
      </c>
      <c r="J192" s="3">
        <v>22615</v>
      </c>
      <c r="K192" s="15">
        <v>0.30208333333333331</v>
      </c>
      <c r="L192" s="5">
        <f t="shared" si="26"/>
        <v>45848</v>
      </c>
      <c r="M192" s="3">
        <v>0.96</v>
      </c>
      <c r="N192" s="22">
        <v>9.6</v>
      </c>
      <c r="O192" s="22">
        <f>+MAX(Tabla4[[#This Row],[6KWA]:[9KWA]])</f>
        <v>1.49</v>
      </c>
      <c r="P192" s="3">
        <f t="shared" si="17"/>
        <v>10</v>
      </c>
      <c r="Q192" s="3">
        <f t="shared" si="18"/>
        <v>7</v>
      </c>
      <c r="R192" s="3">
        <f t="shared" si="19"/>
        <v>28</v>
      </c>
      <c r="S192" s="3" t="str">
        <f t="shared" si="20"/>
        <v>julio</v>
      </c>
      <c r="T192" s="21">
        <f t="shared" si="21"/>
        <v>509.25</v>
      </c>
      <c r="U192" s="21">
        <f t="shared" si="22"/>
        <v>487.2</v>
      </c>
      <c r="V192" s="21">
        <f t="shared" si="23"/>
        <v>521.5</v>
      </c>
      <c r="W192" s="21">
        <f>+Tabla4[[#This Row],[9KWA]]*350</f>
        <v>458.15</v>
      </c>
      <c r="X192" s="21">
        <f>350*Tabla4[[#This Row],[Max Factor Medido]]</f>
        <v>521.5</v>
      </c>
      <c r="Y192" s="39">
        <v>0.94</v>
      </c>
      <c r="Z192" s="3">
        <f t="shared" si="24"/>
        <v>2025</v>
      </c>
      <c r="AA192" s="21">
        <f>+MEDIAN(Tabla4[[#This Row],[kwreal 6]:[kwreal 9]])</f>
        <v>498.22500000000002</v>
      </c>
      <c r="AB192" s="21">
        <f>+Tabla4[[#This Row],[LineaBase-FD]]/350</f>
        <v>1.4235</v>
      </c>
    </row>
    <row r="193" spans="1:28" x14ac:dyDescent="0.3">
      <c r="A193" s="28">
        <v>66982</v>
      </c>
      <c r="B193" s="3">
        <v>25224</v>
      </c>
      <c r="C193" s="3">
        <v>8338</v>
      </c>
      <c r="D193" s="3">
        <v>30468</v>
      </c>
      <c r="E193" s="3">
        <v>2951</v>
      </c>
      <c r="F193" s="77">
        <v>1.4550000000000001</v>
      </c>
      <c r="G193" s="77">
        <v>1.3919999999999999</v>
      </c>
      <c r="H193" s="77">
        <v>1.49</v>
      </c>
      <c r="I193" s="77">
        <v>1.3089999999999999</v>
      </c>
      <c r="J193" s="3">
        <v>22622</v>
      </c>
      <c r="K193" s="15">
        <v>0.29722222222222222</v>
      </c>
      <c r="L193" s="5">
        <f t="shared" si="26"/>
        <v>45849</v>
      </c>
      <c r="M193" s="3">
        <v>0.95</v>
      </c>
      <c r="N193" s="22">
        <v>1.1200000000000001</v>
      </c>
      <c r="O193" s="22">
        <f>+MAX(Tabla4[[#This Row],[6KWA]:[9KWA]])</f>
        <v>1.49</v>
      </c>
      <c r="P193" s="3">
        <f t="shared" si="17"/>
        <v>11</v>
      </c>
      <c r="Q193" s="3">
        <f t="shared" si="18"/>
        <v>7</v>
      </c>
      <c r="R193" s="3">
        <f t="shared" si="19"/>
        <v>28</v>
      </c>
      <c r="S193" s="3" t="str">
        <f t="shared" si="20"/>
        <v>julio</v>
      </c>
      <c r="T193" s="21">
        <f t="shared" si="21"/>
        <v>509.25</v>
      </c>
      <c r="U193" s="21">
        <f t="shared" si="22"/>
        <v>487.2</v>
      </c>
      <c r="V193" s="21">
        <f t="shared" si="23"/>
        <v>521.5</v>
      </c>
      <c r="W193" s="21">
        <f>+Tabla4[[#This Row],[9KWA]]*350</f>
        <v>458.15</v>
      </c>
      <c r="X193" s="21">
        <f>350*Tabla4[[#This Row],[Max Factor Medido]]</f>
        <v>521.5</v>
      </c>
      <c r="Y193" s="39">
        <v>0.94</v>
      </c>
      <c r="Z193" s="3">
        <f t="shared" si="24"/>
        <v>2025</v>
      </c>
      <c r="AA193" s="21">
        <f>+MEDIAN(Tabla4[[#This Row],[kwreal 6]:[kwreal 9]])</f>
        <v>498.22500000000002</v>
      </c>
      <c r="AB193" s="21">
        <f>+Tabla4[[#This Row],[LineaBase-FD]]/350</f>
        <v>1.4235</v>
      </c>
    </row>
    <row r="194" spans="1:28" x14ac:dyDescent="0.3">
      <c r="A194" s="29">
        <v>67010</v>
      </c>
      <c r="B194" s="2">
        <v>25236</v>
      </c>
      <c r="C194" s="2">
        <v>8343</v>
      </c>
      <c r="D194" s="2">
        <v>30479</v>
      </c>
      <c r="E194" s="2">
        <v>2951</v>
      </c>
      <c r="F194" s="77">
        <v>1.4550000000000001</v>
      </c>
      <c r="G194" s="77">
        <v>1.3919999999999999</v>
      </c>
      <c r="H194" s="77">
        <v>1.49</v>
      </c>
      <c r="I194" s="77">
        <v>1.3089999999999999</v>
      </c>
      <c r="J194" s="2">
        <v>22629</v>
      </c>
      <c r="K194" s="7">
        <v>0.29444444444444445</v>
      </c>
      <c r="L194" s="6">
        <f t="shared" si="26"/>
        <v>45850</v>
      </c>
      <c r="M194" s="2">
        <v>0.92</v>
      </c>
      <c r="N194" s="22">
        <v>1.069</v>
      </c>
      <c r="O194" s="22">
        <f>+MAX(Tabla4[[#This Row],[6KWA]:[9KWA]])</f>
        <v>1.49</v>
      </c>
      <c r="P194" s="3">
        <f t="shared" ref="P194:P257" si="27">+DAY(L194)</f>
        <v>12</v>
      </c>
      <c r="Q194" s="3">
        <f t="shared" ref="Q194:Q257" si="28">+MONTH(L194)</f>
        <v>7</v>
      </c>
      <c r="R194" s="3">
        <f t="shared" ref="R194:R257" si="29">WEEKNUM(L194)</f>
        <v>28</v>
      </c>
      <c r="S194" s="3" t="str">
        <f t="shared" ref="S194:S257" si="30">TEXT(L194,"mmmm")</f>
        <v>julio</v>
      </c>
      <c r="T194" s="21">
        <f t="shared" ref="T194:T257" si="31">350*F194</f>
        <v>509.25</v>
      </c>
      <c r="U194" s="21">
        <f t="shared" ref="U194:U257" si="32">350*G194</f>
        <v>487.2</v>
      </c>
      <c r="V194" s="21">
        <f t="shared" ref="V194:V257" si="33">350*H194</f>
        <v>521.5</v>
      </c>
      <c r="W194" s="21">
        <f>+Tabla4[[#This Row],[9KWA]]*350</f>
        <v>458.15</v>
      </c>
      <c r="X194" s="21">
        <f>350*Tabla4[[#This Row],[Max Factor Medido]]</f>
        <v>521.5</v>
      </c>
      <c r="Y194" s="39">
        <v>0.94</v>
      </c>
      <c r="Z194" s="3">
        <f t="shared" ref="Z194:Z257" si="34">+YEAR(L194)</f>
        <v>2025</v>
      </c>
      <c r="AA194" s="21">
        <f>+MEDIAN(Tabla4[[#This Row],[kwreal 6]:[kwreal 9]])</f>
        <v>498.22500000000002</v>
      </c>
      <c r="AB194" s="21">
        <f>+Tabla4[[#This Row],[LineaBase-FD]]/350</f>
        <v>1.4235</v>
      </c>
    </row>
    <row r="195" spans="1:28" x14ac:dyDescent="0.3">
      <c r="A195" s="29">
        <v>67024</v>
      </c>
      <c r="B195" s="2">
        <v>25236</v>
      </c>
      <c r="C195" s="2">
        <v>8343</v>
      </c>
      <c r="D195" s="2">
        <v>30508</v>
      </c>
      <c r="E195" s="2">
        <v>2951</v>
      </c>
      <c r="F195" s="77">
        <v>1.4550000000000001</v>
      </c>
      <c r="G195" s="77">
        <v>1.3919999999999999</v>
      </c>
      <c r="H195" s="77">
        <v>1.49</v>
      </c>
      <c r="I195" s="77">
        <v>1.3129999999999999</v>
      </c>
      <c r="J195" s="2">
        <v>22636</v>
      </c>
      <c r="K195" s="7">
        <v>0.30208333333333331</v>
      </c>
      <c r="L195" s="6">
        <f t="shared" si="26"/>
        <v>45851</v>
      </c>
      <c r="M195" s="2">
        <v>0.96</v>
      </c>
      <c r="N195" s="22">
        <v>1.125</v>
      </c>
      <c r="O195" s="22">
        <f>+MAX(Tabla4[[#This Row],[6KWA]:[9KWA]])</f>
        <v>1.49</v>
      </c>
      <c r="P195" s="3">
        <f t="shared" si="27"/>
        <v>13</v>
      </c>
      <c r="Q195" s="3">
        <f t="shared" si="28"/>
        <v>7</v>
      </c>
      <c r="R195" s="3">
        <f t="shared" si="29"/>
        <v>29</v>
      </c>
      <c r="S195" s="3" t="str">
        <f t="shared" si="30"/>
        <v>julio</v>
      </c>
      <c r="T195" s="21">
        <f t="shared" si="31"/>
        <v>509.25</v>
      </c>
      <c r="U195" s="21">
        <f t="shared" si="32"/>
        <v>487.2</v>
      </c>
      <c r="V195" s="21">
        <f t="shared" si="33"/>
        <v>521.5</v>
      </c>
      <c r="W195" s="21">
        <f>+Tabla4[[#This Row],[9KWA]]*350</f>
        <v>459.54999999999995</v>
      </c>
      <c r="X195" s="21">
        <f>350*Tabla4[[#This Row],[Max Factor Medido]]</f>
        <v>521.5</v>
      </c>
      <c r="Y195" s="39">
        <v>0.94</v>
      </c>
      <c r="Z195" s="3">
        <f t="shared" si="34"/>
        <v>2025</v>
      </c>
      <c r="AA195" s="21">
        <f>+MEDIAN(Tabla4[[#This Row],[kwreal 6]:[kwreal 9]])</f>
        <v>498.22500000000002</v>
      </c>
      <c r="AB195" s="21">
        <f>+Tabla4[[#This Row],[LineaBase-FD]]/350</f>
        <v>1.4235</v>
      </c>
    </row>
    <row r="196" spans="1:28" x14ac:dyDescent="0.3">
      <c r="A196" s="28">
        <v>67065</v>
      </c>
      <c r="B196" s="3">
        <v>25236</v>
      </c>
      <c r="C196" s="3">
        <v>8343</v>
      </c>
      <c r="D196" s="3">
        <v>30525</v>
      </c>
      <c r="E196" s="3">
        <v>2960</v>
      </c>
      <c r="F196" s="77">
        <v>1.4550000000000001</v>
      </c>
      <c r="G196" s="77">
        <v>1.3919999999999999</v>
      </c>
      <c r="H196" s="77">
        <v>1.49</v>
      </c>
      <c r="I196" s="77">
        <v>1.3129999999999999</v>
      </c>
      <c r="J196" s="3">
        <v>22647</v>
      </c>
      <c r="K196" s="15">
        <v>0.35625000000000001</v>
      </c>
      <c r="L196" s="5">
        <f t="shared" si="26"/>
        <v>45852</v>
      </c>
      <c r="M196" s="3">
        <v>0.92</v>
      </c>
      <c r="N196" s="22">
        <v>1.0109999999999999</v>
      </c>
      <c r="O196" s="22">
        <f>+MAX(Tabla4[[#This Row],[6KWA]:[9KWA]])</f>
        <v>1.49</v>
      </c>
      <c r="P196" s="3">
        <f t="shared" si="27"/>
        <v>14</v>
      </c>
      <c r="Q196" s="3">
        <f t="shared" si="28"/>
        <v>7</v>
      </c>
      <c r="R196" s="3">
        <f t="shared" si="29"/>
        <v>29</v>
      </c>
      <c r="S196" s="3" t="str">
        <f t="shared" si="30"/>
        <v>julio</v>
      </c>
      <c r="T196" s="21">
        <f t="shared" si="31"/>
        <v>509.25</v>
      </c>
      <c r="U196" s="21">
        <f t="shared" si="32"/>
        <v>487.2</v>
      </c>
      <c r="V196" s="21">
        <f t="shared" si="33"/>
        <v>521.5</v>
      </c>
      <c r="W196" s="21">
        <f>+Tabla4[[#This Row],[9KWA]]*350</f>
        <v>459.54999999999995</v>
      </c>
      <c r="X196" s="21">
        <f>350*Tabla4[[#This Row],[Max Factor Medido]]</f>
        <v>521.5</v>
      </c>
      <c r="Y196" s="39">
        <v>0.94</v>
      </c>
      <c r="Z196" s="3">
        <f t="shared" si="34"/>
        <v>2025</v>
      </c>
      <c r="AA196" s="21">
        <f>+MEDIAN(Tabla4[[#This Row],[kwreal 6]:[kwreal 9]])</f>
        <v>498.22500000000002</v>
      </c>
      <c r="AB196" s="21">
        <f>+Tabla4[[#This Row],[LineaBase-FD]]/350</f>
        <v>1.4235</v>
      </c>
    </row>
    <row r="197" spans="1:28" x14ac:dyDescent="0.3">
      <c r="A197" s="28">
        <v>67090</v>
      </c>
      <c r="B197" s="3">
        <v>25247</v>
      </c>
      <c r="C197" s="3">
        <v>8348</v>
      </c>
      <c r="D197" s="3">
        <v>30535</v>
      </c>
      <c r="E197" s="3">
        <v>2960</v>
      </c>
      <c r="F197" s="77">
        <v>1.4550000000000001</v>
      </c>
      <c r="G197" s="77">
        <v>1.3919999999999999</v>
      </c>
      <c r="H197" s="77">
        <v>1.49</v>
      </c>
      <c r="I197" s="77">
        <v>1.3129999999999999</v>
      </c>
      <c r="J197" s="3">
        <v>22654</v>
      </c>
      <c r="K197" s="15">
        <v>0.29375000000000001</v>
      </c>
      <c r="L197" s="5">
        <f t="shared" si="26"/>
        <v>45853</v>
      </c>
      <c r="M197" s="3">
        <v>0.97</v>
      </c>
      <c r="N197" s="22">
        <v>9.67</v>
      </c>
      <c r="O197" s="22">
        <f>+MAX(Tabla4[[#This Row],[6KWA]:[9KWA]])</f>
        <v>1.49</v>
      </c>
      <c r="P197" s="3">
        <f t="shared" si="27"/>
        <v>15</v>
      </c>
      <c r="Q197" s="3">
        <f t="shared" si="28"/>
        <v>7</v>
      </c>
      <c r="R197" s="3">
        <f t="shared" si="29"/>
        <v>29</v>
      </c>
      <c r="S197" s="3" t="str">
        <f t="shared" si="30"/>
        <v>julio</v>
      </c>
      <c r="T197" s="21">
        <f t="shared" si="31"/>
        <v>509.25</v>
      </c>
      <c r="U197" s="21">
        <f t="shared" si="32"/>
        <v>487.2</v>
      </c>
      <c r="V197" s="21">
        <f t="shared" si="33"/>
        <v>521.5</v>
      </c>
      <c r="W197" s="21">
        <f>+Tabla4[[#This Row],[9KWA]]*350</f>
        <v>459.54999999999995</v>
      </c>
      <c r="X197" s="21">
        <f>350*Tabla4[[#This Row],[Max Factor Medido]]</f>
        <v>521.5</v>
      </c>
      <c r="Y197" s="39">
        <v>0.94</v>
      </c>
      <c r="Z197" s="3">
        <f t="shared" si="34"/>
        <v>2025</v>
      </c>
      <c r="AA197" s="21">
        <f>+MEDIAN(Tabla4[[#This Row],[kwreal 6]:[kwreal 9]])</f>
        <v>498.22500000000002</v>
      </c>
      <c r="AB197" s="21">
        <f>+Tabla4[[#This Row],[LineaBase-FD]]/350</f>
        <v>1.4235</v>
      </c>
    </row>
    <row r="198" spans="1:28" x14ac:dyDescent="0.3">
      <c r="A198" s="28">
        <v>67118</v>
      </c>
      <c r="B198" s="3">
        <v>25259</v>
      </c>
      <c r="C198" s="3">
        <v>8353</v>
      </c>
      <c r="D198" s="3">
        <v>30546</v>
      </c>
      <c r="E198" s="3">
        <v>2960</v>
      </c>
      <c r="F198" s="77">
        <v>1.4550000000000001</v>
      </c>
      <c r="G198" s="77">
        <v>1.3919999999999999</v>
      </c>
      <c r="H198" s="77">
        <v>1.49</v>
      </c>
      <c r="I198" s="77">
        <v>1.3129999999999999</v>
      </c>
      <c r="J198" s="3">
        <v>22661</v>
      </c>
      <c r="K198" s="15">
        <v>0.30138888888888887</v>
      </c>
      <c r="L198" s="5">
        <f t="shared" si="26"/>
        <v>45854</v>
      </c>
      <c r="M198" s="3">
        <v>0.96</v>
      </c>
      <c r="N198" s="22">
        <v>1.0589999999999999</v>
      </c>
      <c r="O198" s="22">
        <f>+MAX(Tabla4[[#This Row],[6KWA]:[9KWA]])</f>
        <v>1.49</v>
      </c>
      <c r="P198" s="3">
        <f t="shared" si="27"/>
        <v>16</v>
      </c>
      <c r="Q198" s="3">
        <f t="shared" si="28"/>
        <v>7</v>
      </c>
      <c r="R198" s="3">
        <f t="shared" si="29"/>
        <v>29</v>
      </c>
      <c r="S198" s="3" t="str">
        <f t="shared" si="30"/>
        <v>julio</v>
      </c>
      <c r="T198" s="21">
        <f t="shared" si="31"/>
        <v>509.25</v>
      </c>
      <c r="U198" s="21">
        <f t="shared" si="32"/>
        <v>487.2</v>
      </c>
      <c r="V198" s="21">
        <f t="shared" si="33"/>
        <v>521.5</v>
      </c>
      <c r="W198" s="21">
        <f>+Tabla4[[#This Row],[9KWA]]*350</f>
        <v>459.54999999999995</v>
      </c>
      <c r="X198" s="21">
        <f>350*Tabla4[[#This Row],[Max Factor Medido]]</f>
        <v>521.5</v>
      </c>
      <c r="Y198" s="39">
        <v>0.94</v>
      </c>
      <c r="Z198" s="3">
        <f t="shared" si="34"/>
        <v>2025</v>
      </c>
      <c r="AA198" s="21">
        <f>+MEDIAN(Tabla4[[#This Row],[kwreal 6]:[kwreal 9]])</f>
        <v>498.22500000000002</v>
      </c>
      <c r="AB198" s="21">
        <f>+Tabla4[[#This Row],[LineaBase-FD]]/350</f>
        <v>1.4235</v>
      </c>
    </row>
    <row r="199" spans="1:28" x14ac:dyDescent="0.3">
      <c r="A199" s="28">
        <v>67146</v>
      </c>
      <c r="B199" s="3">
        <v>25272</v>
      </c>
      <c r="C199" s="3">
        <v>8357</v>
      </c>
      <c r="D199" s="3">
        <v>30557</v>
      </c>
      <c r="E199" s="3">
        <v>2960</v>
      </c>
      <c r="F199" s="77">
        <v>1.4550000000000001</v>
      </c>
      <c r="G199" s="77">
        <v>1.3919999999999999</v>
      </c>
      <c r="H199" s="77">
        <v>1.49</v>
      </c>
      <c r="I199" s="77">
        <v>1.3129999999999999</v>
      </c>
      <c r="J199" s="3">
        <v>22669</v>
      </c>
      <c r="K199" s="15">
        <v>0.29652777777777778</v>
      </c>
      <c r="L199" s="5">
        <f t="shared" si="26"/>
        <v>45855</v>
      </c>
      <c r="M199" s="3">
        <v>0.94</v>
      </c>
      <c r="N199" s="22">
        <v>1.1759999999999999</v>
      </c>
      <c r="O199" s="22">
        <f>+MAX(Tabla4[[#This Row],[6KWA]:[9KWA]])</f>
        <v>1.49</v>
      </c>
      <c r="P199" s="3">
        <f t="shared" si="27"/>
        <v>17</v>
      </c>
      <c r="Q199" s="3">
        <f t="shared" si="28"/>
        <v>7</v>
      </c>
      <c r="R199" s="3">
        <f t="shared" si="29"/>
        <v>29</v>
      </c>
      <c r="S199" s="3" t="str">
        <f t="shared" si="30"/>
        <v>julio</v>
      </c>
      <c r="T199" s="21">
        <f t="shared" si="31"/>
        <v>509.25</v>
      </c>
      <c r="U199" s="21">
        <f t="shared" si="32"/>
        <v>487.2</v>
      </c>
      <c r="V199" s="21">
        <f t="shared" si="33"/>
        <v>521.5</v>
      </c>
      <c r="W199" s="21">
        <f>+Tabla4[[#This Row],[9KWA]]*350</f>
        <v>459.54999999999995</v>
      </c>
      <c r="X199" s="21">
        <f>350*Tabla4[[#This Row],[Max Factor Medido]]</f>
        <v>521.5</v>
      </c>
      <c r="Y199" s="39">
        <v>0.94</v>
      </c>
      <c r="Z199" s="3">
        <f t="shared" si="34"/>
        <v>2025</v>
      </c>
      <c r="AA199" s="21">
        <f>+MEDIAN(Tabla4[[#This Row],[kwreal 6]:[kwreal 9]])</f>
        <v>498.22500000000002</v>
      </c>
      <c r="AB199" s="21">
        <f>+Tabla4[[#This Row],[LineaBase-FD]]/350</f>
        <v>1.4235</v>
      </c>
    </row>
    <row r="200" spans="1:28" x14ac:dyDescent="0.3">
      <c r="A200" s="29">
        <v>67174</v>
      </c>
      <c r="B200" s="2">
        <v>25284</v>
      </c>
      <c r="C200" s="2">
        <v>8362</v>
      </c>
      <c r="D200" s="2">
        <v>30568</v>
      </c>
      <c r="E200" s="2">
        <v>2960</v>
      </c>
      <c r="F200" s="77">
        <v>1.4550000000000001</v>
      </c>
      <c r="G200" s="77">
        <v>1.3919999999999999</v>
      </c>
      <c r="H200" s="77">
        <v>1.49</v>
      </c>
      <c r="I200" s="77">
        <v>1.3129999999999999</v>
      </c>
      <c r="J200" s="2">
        <v>22676</v>
      </c>
      <c r="K200" s="7">
        <v>0.3263888888888889</v>
      </c>
      <c r="L200" s="6">
        <f t="shared" si="26"/>
        <v>45856</v>
      </c>
      <c r="M200" s="2">
        <v>0.98</v>
      </c>
      <c r="N200" s="22">
        <v>1.153</v>
      </c>
      <c r="O200" s="22">
        <f>+MAX(Tabla4[[#This Row],[6KWA]:[9KWA]])</f>
        <v>1.49</v>
      </c>
      <c r="P200" s="3">
        <f t="shared" si="27"/>
        <v>18</v>
      </c>
      <c r="Q200" s="3">
        <f t="shared" si="28"/>
        <v>7</v>
      </c>
      <c r="R200" s="3">
        <f t="shared" si="29"/>
        <v>29</v>
      </c>
      <c r="S200" s="3" t="str">
        <f t="shared" si="30"/>
        <v>julio</v>
      </c>
      <c r="T200" s="21">
        <f t="shared" si="31"/>
        <v>509.25</v>
      </c>
      <c r="U200" s="21">
        <f t="shared" si="32"/>
        <v>487.2</v>
      </c>
      <c r="V200" s="21">
        <f t="shared" si="33"/>
        <v>521.5</v>
      </c>
      <c r="W200" s="21">
        <f>+Tabla4[[#This Row],[9KWA]]*350</f>
        <v>459.54999999999995</v>
      </c>
      <c r="X200" s="21">
        <f>350*Tabla4[[#This Row],[Max Factor Medido]]</f>
        <v>521.5</v>
      </c>
      <c r="Y200" s="39">
        <v>0.94</v>
      </c>
      <c r="Z200" s="3">
        <f t="shared" si="34"/>
        <v>2025</v>
      </c>
      <c r="AA200" s="21">
        <f>+MEDIAN(Tabla4[[#This Row],[kwreal 6]:[kwreal 9]])</f>
        <v>498.22500000000002</v>
      </c>
      <c r="AB200" s="21">
        <f>+Tabla4[[#This Row],[LineaBase-FD]]/350</f>
        <v>1.4235</v>
      </c>
    </row>
    <row r="201" spans="1:28" x14ac:dyDescent="0.3">
      <c r="A201" s="29">
        <v>67201</v>
      </c>
      <c r="B201" s="2">
        <v>25295</v>
      </c>
      <c r="C201" s="2">
        <v>8366</v>
      </c>
      <c r="D201" s="2">
        <v>30578</v>
      </c>
      <c r="E201" s="2">
        <v>2960</v>
      </c>
      <c r="F201" s="77">
        <v>1.4550000000000001</v>
      </c>
      <c r="G201" s="77">
        <v>1.3919999999999999</v>
      </c>
      <c r="H201" s="77">
        <v>1.49</v>
      </c>
      <c r="I201" s="77">
        <v>1.3129999999999999</v>
      </c>
      <c r="J201" s="2">
        <v>22683</v>
      </c>
      <c r="K201" s="7">
        <v>0.29236111111111113</v>
      </c>
      <c r="L201" s="6">
        <f t="shared" si="26"/>
        <v>45857</v>
      </c>
      <c r="M201" s="2">
        <v>0.94</v>
      </c>
      <c r="N201" s="22">
        <v>1.0449999999999999</v>
      </c>
      <c r="O201" s="22">
        <f>+MAX(Tabla4[[#This Row],[6KWA]:[9KWA]])</f>
        <v>1.49</v>
      </c>
      <c r="P201" s="3">
        <f t="shared" si="27"/>
        <v>19</v>
      </c>
      <c r="Q201" s="3">
        <f t="shared" si="28"/>
        <v>7</v>
      </c>
      <c r="R201" s="3">
        <f t="shared" si="29"/>
        <v>29</v>
      </c>
      <c r="S201" s="3" t="str">
        <f t="shared" si="30"/>
        <v>julio</v>
      </c>
      <c r="T201" s="21">
        <f t="shared" si="31"/>
        <v>509.25</v>
      </c>
      <c r="U201" s="21">
        <f t="shared" si="32"/>
        <v>487.2</v>
      </c>
      <c r="V201" s="21">
        <f t="shared" si="33"/>
        <v>521.5</v>
      </c>
      <c r="W201" s="21">
        <f>+Tabla4[[#This Row],[9KWA]]*350</f>
        <v>459.54999999999995</v>
      </c>
      <c r="X201" s="21">
        <f>350*Tabla4[[#This Row],[Max Factor Medido]]</f>
        <v>521.5</v>
      </c>
      <c r="Y201" s="39">
        <v>0.94</v>
      </c>
      <c r="Z201" s="3">
        <f t="shared" si="34"/>
        <v>2025</v>
      </c>
      <c r="AA201" s="21">
        <f>+MEDIAN(Tabla4[[#This Row],[kwreal 6]:[kwreal 9]])</f>
        <v>498.22500000000002</v>
      </c>
      <c r="AB201" s="21">
        <f>+Tabla4[[#This Row],[LineaBase-FD]]/350</f>
        <v>1.4235</v>
      </c>
    </row>
    <row r="202" spans="1:28" x14ac:dyDescent="0.3">
      <c r="A202" s="28">
        <v>67231</v>
      </c>
      <c r="B202" s="3">
        <v>25295</v>
      </c>
      <c r="C202" s="3">
        <v>8366</v>
      </c>
      <c r="D202" s="3">
        <v>30604</v>
      </c>
      <c r="E202" s="3">
        <v>2964</v>
      </c>
      <c r="F202" s="77">
        <v>1.4550000000000001</v>
      </c>
      <c r="G202" s="77">
        <v>1.3919999999999999</v>
      </c>
      <c r="H202" s="77">
        <v>1.49</v>
      </c>
      <c r="I202" s="77">
        <v>1.3129999999999999</v>
      </c>
      <c r="J202" s="3">
        <v>22693</v>
      </c>
      <c r="K202" s="15">
        <v>0.60763888888888884</v>
      </c>
      <c r="L202" s="5">
        <f t="shared" si="26"/>
        <v>45858</v>
      </c>
      <c r="M202" s="3">
        <v>0.87</v>
      </c>
      <c r="N202" s="22">
        <v>1.1379999999999999</v>
      </c>
      <c r="O202" s="22">
        <f>+MAX(Tabla4[[#This Row],[6KWA]:[9KWA]])</f>
        <v>1.49</v>
      </c>
      <c r="P202" s="3">
        <f t="shared" si="27"/>
        <v>20</v>
      </c>
      <c r="Q202" s="3">
        <f t="shared" si="28"/>
        <v>7</v>
      </c>
      <c r="R202" s="3">
        <f t="shared" si="29"/>
        <v>30</v>
      </c>
      <c r="S202" s="3" t="str">
        <f t="shared" si="30"/>
        <v>julio</v>
      </c>
      <c r="T202" s="21">
        <f t="shared" si="31"/>
        <v>509.25</v>
      </c>
      <c r="U202" s="21">
        <f t="shared" si="32"/>
        <v>487.2</v>
      </c>
      <c r="V202" s="21">
        <f t="shared" si="33"/>
        <v>521.5</v>
      </c>
      <c r="W202" s="21">
        <f>+Tabla4[[#This Row],[9KWA]]*350</f>
        <v>459.54999999999995</v>
      </c>
      <c r="X202" s="21">
        <f>350*Tabla4[[#This Row],[Max Factor Medido]]</f>
        <v>521.5</v>
      </c>
      <c r="Y202" s="39">
        <v>0.94</v>
      </c>
      <c r="Z202" s="3">
        <f t="shared" si="34"/>
        <v>2025</v>
      </c>
      <c r="AA202" s="21">
        <f>+MEDIAN(Tabla4[[#This Row],[kwreal 6]:[kwreal 9]])</f>
        <v>498.22500000000002</v>
      </c>
      <c r="AB202" s="21">
        <f>+Tabla4[[#This Row],[LineaBase-FD]]/350</f>
        <v>1.4235</v>
      </c>
    </row>
    <row r="203" spans="1:28" x14ac:dyDescent="0.3">
      <c r="A203" s="28">
        <v>67249</v>
      </c>
      <c r="B203" s="3">
        <v>25295</v>
      </c>
      <c r="C203" s="3">
        <v>8366</v>
      </c>
      <c r="D203" s="3">
        <v>30617</v>
      </c>
      <c r="E203" s="3">
        <v>2969</v>
      </c>
      <c r="F203" s="77">
        <v>1.4550000000000001</v>
      </c>
      <c r="G203" s="77">
        <v>1.3919999999999999</v>
      </c>
      <c r="H203" s="77">
        <v>1.49</v>
      </c>
      <c r="I203" s="77">
        <v>1.39</v>
      </c>
      <c r="J203" s="3">
        <v>2700</v>
      </c>
      <c r="K203" s="15">
        <v>0.29722222222222222</v>
      </c>
      <c r="L203" s="5">
        <f t="shared" si="26"/>
        <v>45859</v>
      </c>
      <c r="M203" s="3">
        <v>0.95</v>
      </c>
      <c r="N203" s="22">
        <v>1.1779999999999999</v>
      </c>
      <c r="O203" s="22">
        <f>+MAX(Tabla4[[#This Row],[6KWA]:[9KWA]])</f>
        <v>1.49</v>
      </c>
      <c r="P203" s="3">
        <f t="shared" si="27"/>
        <v>21</v>
      </c>
      <c r="Q203" s="3">
        <f t="shared" si="28"/>
        <v>7</v>
      </c>
      <c r="R203" s="3">
        <f t="shared" si="29"/>
        <v>30</v>
      </c>
      <c r="S203" s="3" t="str">
        <f t="shared" si="30"/>
        <v>julio</v>
      </c>
      <c r="T203" s="21">
        <f t="shared" si="31"/>
        <v>509.25</v>
      </c>
      <c r="U203" s="21">
        <f t="shared" si="32"/>
        <v>487.2</v>
      </c>
      <c r="V203" s="21">
        <f t="shared" si="33"/>
        <v>521.5</v>
      </c>
      <c r="W203" s="21">
        <f>+Tabla4[[#This Row],[9KWA]]*350</f>
        <v>486.49999999999994</v>
      </c>
      <c r="X203" s="21">
        <f>350*Tabla4[[#This Row],[Max Factor Medido]]</f>
        <v>521.5</v>
      </c>
      <c r="Y203" s="39">
        <v>0.94</v>
      </c>
      <c r="Z203" s="3">
        <f t="shared" si="34"/>
        <v>2025</v>
      </c>
      <c r="AA203" s="21">
        <f>+MEDIAN(Tabla4[[#This Row],[kwreal 6]:[kwreal 9]])</f>
        <v>498.22500000000002</v>
      </c>
      <c r="AB203" s="21">
        <f>+Tabla4[[#This Row],[LineaBase-FD]]/350</f>
        <v>1.4235</v>
      </c>
    </row>
    <row r="204" spans="1:28" x14ac:dyDescent="0.3">
      <c r="A204" s="28">
        <v>67276</v>
      </c>
      <c r="B204" s="3">
        <v>25307</v>
      </c>
      <c r="C204" s="3">
        <v>8371</v>
      </c>
      <c r="D204" s="3">
        <v>30627</v>
      </c>
      <c r="E204" s="3">
        <v>2969</v>
      </c>
      <c r="F204" s="77">
        <v>1.4550000000000001</v>
      </c>
      <c r="G204" s="77">
        <v>1.3919999999999999</v>
      </c>
      <c r="H204" s="77">
        <v>1.49</v>
      </c>
      <c r="I204" s="77">
        <v>1.39</v>
      </c>
      <c r="J204" s="3">
        <v>22707</v>
      </c>
      <c r="K204" s="15">
        <v>0.27569444444444446</v>
      </c>
      <c r="L204" s="5">
        <f t="shared" si="26"/>
        <v>45860</v>
      </c>
      <c r="M204" s="3">
        <v>0.96</v>
      </c>
      <c r="N204" s="22">
        <v>1.05</v>
      </c>
      <c r="O204" s="22">
        <f>+MAX(Tabla4[[#This Row],[6KWA]:[9KWA]])</f>
        <v>1.49</v>
      </c>
      <c r="P204" s="3">
        <f t="shared" si="27"/>
        <v>22</v>
      </c>
      <c r="Q204" s="3">
        <f t="shared" si="28"/>
        <v>7</v>
      </c>
      <c r="R204" s="3">
        <f t="shared" si="29"/>
        <v>30</v>
      </c>
      <c r="S204" s="3" t="str">
        <f t="shared" si="30"/>
        <v>julio</v>
      </c>
      <c r="T204" s="21">
        <f t="shared" si="31"/>
        <v>509.25</v>
      </c>
      <c r="U204" s="21">
        <f t="shared" si="32"/>
        <v>487.2</v>
      </c>
      <c r="V204" s="21">
        <f t="shared" si="33"/>
        <v>521.5</v>
      </c>
      <c r="W204" s="21">
        <f>+Tabla4[[#This Row],[9KWA]]*350</f>
        <v>486.49999999999994</v>
      </c>
      <c r="X204" s="21">
        <f>350*Tabla4[[#This Row],[Max Factor Medido]]</f>
        <v>521.5</v>
      </c>
      <c r="Y204" s="39">
        <v>0.94</v>
      </c>
      <c r="Z204" s="3">
        <f t="shared" si="34"/>
        <v>2025</v>
      </c>
      <c r="AA204" s="21">
        <f>+MEDIAN(Tabla4[[#This Row],[kwreal 6]:[kwreal 9]])</f>
        <v>498.22500000000002</v>
      </c>
      <c r="AB204" s="21">
        <f>+Tabla4[[#This Row],[LineaBase-FD]]/350</f>
        <v>1.4235</v>
      </c>
    </row>
    <row r="205" spans="1:28" x14ac:dyDescent="0.3">
      <c r="A205" s="28">
        <v>67301</v>
      </c>
      <c r="B205" s="3">
        <v>25318</v>
      </c>
      <c r="C205" s="3">
        <v>8376</v>
      </c>
      <c r="D205" s="3">
        <v>30638</v>
      </c>
      <c r="E205" s="3">
        <v>2969</v>
      </c>
      <c r="F205" s="77">
        <v>1.4550000000000001</v>
      </c>
      <c r="G205" s="77">
        <v>1.3919999999999999</v>
      </c>
      <c r="H205" s="77">
        <v>1.49</v>
      </c>
      <c r="I205" s="77">
        <v>1.39</v>
      </c>
      <c r="J205" s="3">
        <v>22713</v>
      </c>
      <c r="K205" s="15">
        <v>0.26944444444444443</v>
      </c>
      <c r="L205" s="5">
        <f t="shared" si="26"/>
        <v>45861</v>
      </c>
      <c r="M205" s="3">
        <v>0.98</v>
      </c>
      <c r="N205" s="22">
        <v>7.81</v>
      </c>
      <c r="O205" s="22">
        <f>+MAX(Tabla4[[#This Row],[6KWA]:[9KWA]])</f>
        <v>1.49</v>
      </c>
      <c r="P205" s="3">
        <f t="shared" si="27"/>
        <v>23</v>
      </c>
      <c r="Q205" s="3">
        <f t="shared" si="28"/>
        <v>7</v>
      </c>
      <c r="R205" s="3">
        <f t="shared" si="29"/>
        <v>30</v>
      </c>
      <c r="S205" s="3" t="str">
        <f t="shared" si="30"/>
        <v>julio</v>
      </c>
      <c r="T205" s="21">
        <f t="shared" si="31"/>
        <v>509.25</v>
      </c>
      <c r="U205" s="21">
        <f t="shared" si="32"/>
        <v>487.2</v>
      </c>
      <c r="V205" s="21">
        <f t="shared" si="33"/>
        <v>521.5</v>
      </c>
      <c r="W205" s="21">
        <f>+Tabla4[[#This Row],[9KWA]]*350</f>
        <v>486.49999999999994</v>
      </c>
      <c r="X205" s="21">
        <f>350*Tabla4[[#This Row],[Max Factor Medido]]</f>
        <v>521.5</v>
      </c>
      <c r="Y205" s="39">
        <v>0.94</v>
      </c>
      <c r="Z205" s="3">
        <f t="shared" si="34"/>
        <v>2025</v>
      </c>
      <c r="AA205" s="21">
        <f>+MEDIAN(Tabla4[[#This Row],[kwreal 6]:[kwreal 9]])</f>
        <v>498.22500000000002</v>
      </c>
      <c r="AB205" s="21">
        <f>+Tabla4[[#This Row],[LineaBase-FD]]/350</f>
        <v>1.4235</v>
      </c>
    </row>
    <row r="206" spans="1:28" x14ac:dyDescent="0.3">
      <c r="A206" s="28">
        <v>67328</v>
      </c>
      <c r="B206" s="3">
        <v>25330</v>
      </c>
      <c r="C206" s="3">
        <v>8380</v>
      </c>
      <c r="D206" s="3">
        <v>30648</v>
      </c>
      <c r="E206" s="3">
        <v>2969</v>
      </c>
      <c r="F206" s="77">
        <v>1.4550000000000001</v>
      </c>
      <c r="G206" s="77">
        <v>1.3919999999999999</v>
      </c>
      <c r="H206" s="77">
        <v>1.49</v>
      </c>
      <c r="I206" s="77">
        <v>1.39</v>
      </c>
      <c r="J206" s="3">
        <v>22719</v>
      </c>
      <c r="K206" s="15">
        <v>0.28819444444444442</v>
      </c>
      <c r="L206" s="5">
        <f t="shared" si="26"/>
        <v>45862</v>
      </c>
      <c r="M206" s="3">
        <v>0.96</v>
      </c>
      <c r="N206" s="22">
        <v>1.0249999999999999</v>
      </c>
      <c r="O206" s="22">
        <f>+MAX(Tabla4[[#This Row],[6KWA]:[9KWA]])</f>
        <v>1.49</v>
      </c>
      <c r="P206" s="3">
        <f t="shared" si="27"/>
        <v>24</v>
      </c>
      <c r="Q206" s="3">
        <f t="shared" si="28"/>
        <v>7</v>
      </c>
      <c r="R206" s="3">
        <f t="shared" si="29"/>
        <v>30</v>
      </c>
      <c r="S206" s="3" t="str">
        <f t="shared" si="30"/>
        <v>julio</v>
      </c>
      <c r="T206" s="21">
        <f t="shared" si="31"/>
        <v>509.25</v>
      </c>
      <c r="U206" s="21">
        <f t="shared" si="32"/>
        <v>487.2</v>
      </c>
      <c r="V206" s="21">
        <f t="shared" si="33"/>
        <v>521.5</v>
      </c>
      <c r="W206" s="21">
        <f>+Tabla4[[#This Row],[9KWA]]*350</f>
        <v>486.49999999999994</v>
      </c>
      <c r="X206" s="21">
        <f>350*Tabla4[[#This Row],[Max Factor Medido]]</f>
        <v>521.5</v>
      </c>
      <c r="Y206" s="39">
        <v>0.94</v>
      </c>
      <c r="Z206" s="3">
        <f t="shared" si="34"/>
        <v>2025</v>
      </c>
      <c r="AA206" s="21">
        <f>+MEDIAN(Tabla4[[#This Row],[kwreal 6]:[kwreal 9]])</f>
        <v>498.22500000000002</v>
      </c>
      <c r="AB206" s="21">
        <f>+Tabla4[[#This Row],[LineaBase-FD]]/350</f>
        <v>1.4235</v>
      </c>
    </row>
    <row r="207" spans="1:28" x14ac:dyDescent="0.3">
      <c r="A207" s="28">
        <v>67355</v>
      </c>
      <c r="B207" s="3">
        <v>25342</v>
      </c>
      <c r="C207" s="3">
        <v>8385</v>
      </c>
      <c r="D207" s="3">
        <v>30659</v>
      </c>
      <c r="E207" s="3">
        <v>2969</v>
      </c>
      <c r="F207" s="77">
        <v>1.4550000000000001</v>
      </c>
      <c r="G207" s="77">
        <v>1.3919999999999999</v>
      </c>
      <c r="H207" s="77">
        <v>1.49</v>
      </c>
      <c r="I207" s="77">
        <v>1.39</v>
      </c>
      <c r="J207" s="3">
        <v>22726</v>
      </c>
      <c r="K207" s="15">
        <v>0.3263888888888889</v>
      </c>
      <c r="L207" s="5">
        <f t="shared" si="26"/>
        <v>45863</v>
      </c>
      <c r="M207" s="3">
        <v>0.98</v>
      </c>
      <c r="N207" s="22">
        <v>7.94</v>
      </c>
      <c r="O207" s="22">
        <f>+MAX(Tabla4[[#This Row],[6KWA]:[9KWA]])</f>
        <v>1.49</v>
      </c>
      <c r="P207" s="3">
        <f t="shared" si="27"/>
        <v>25</v>
      </c>
      <c r="Q207" s="3">
        <f t="shared" si="28"/>
        <v>7</v>
      </c>
      <c r="R207" s="3">
        <f t="shared" si="29"/>
        <v>30</v>
      </c>
      <c r="S207" s="3" t="str">
        <f t="shared" si="30"/>
        <v>julio</v>
      </c>
      <c r="T207" s="21">
        <f t="shared" si="31"/>
        <v>509.25</v>
      </c>
      <c r="U207" s="21">
        <f t="shared" si="32"/>
        <v>487.2</v>
      </c>
      <c r="V207" s="21">
        <f t="shared" si="33"/>
        <v>521.5</v>
      </c>
      <c r="W207" s="21">
        <f>+Tabla4[[#This Row],[9KWA]]*350</f>
        <v>486.49999999999994</v>
      </c>
      <c r="X207" s="21">
        <f>350*Tabla4[[#This Row],[Max Factor Medido]]</f>
        <v>521.5</v>
      </c>
      <c r="Y207" s="39">
        <v>0.94</v>
      </c>
      <c r="Z207" s="3">
        <f t="shared" si="34"/>
        <v>2025</v>
      </c>
      <c r="AA207" s="21">
        <f>+MEDIAN(Tabla4[[#This Row],[kwreal 6]:[kwreal 9]])</f>
        <v>498.22500000000002</v>
      </c>
      <c r="AB207" s="21">
        <f>+Tabla4[[#This Row],[LineaBase-FD]]/350</f>
        <v>1.4235</v>
      </c>
    </row>
    <row r="208" spans="1:28" x14ac:dyDescent="0.3">
      <c r="A208" s="28">
        <v>67382</v>
      </c>
      <c r="B208" s="3">
        <v>25353</v>
      </c>
      <c r="C208" s="3">
        <v>8389</v>
      </c>
      <c r="D208" s="3">
        <v>30669</v>
      </c>
      <c r="E208" s="3">
        <v>2969</v>
      </c>
      <c r="F208" s="77">
        <v>1.4550000000000001</v>
      </c>
      <c r="G208" s="77">
        <v>1.3919999999999999</v>
      </c>
      <c r="H208" s="77">
        <v>1.49</v>
      </c>
      <c r="I208" s="77">
        <v>1.39</v>
      </c>
      <c r="J208" s="3">
        <v>22733</v>
      </c>
      <c r="K208" s="15">
        <v>0.2986111111111111</v>
      </c>
      <c r="L208" s="5">
        <f t="shared" si="26"/>
        <v>45864</v>
      </c>
      <c r="M208" s="3">
        <v>0.95</v>
      </c>
      <c r="N208" s="22">
        <v>1.02</v>
      </c>
      <c r="O208" s="22">
        <f>+MAX(Tabla4[[#This Row],[6KWA]:[9KWA]])</f>
        <v>1.49</v>
      </c>
      <c r="P208" s="3">
        <f t="shared" si="27"/>
        <v>26</v>
      </c>
      <c r="Q208" s="3">
        <f t="shared" si="28"/>
        <v>7</v>
      </c>
      <c r="R208" s="3">
        <f t="shared" si="29"/>
        <v>30</v>
      </c>
      <c r="S208" s="3" t="str">
        <f t="shared" si="30"/>
        <v>julio</v>
      </c>
      <c r="T208" s="21">
        <f t="shared" si="31"/>
        <v>509.25</v>
      </c>
      <c r="U208" s="21">
        <f t="shared" si="32"/>
        <v>487.2</v>
      </c>
      <c r="V208" s="21">
        <f t="shared" si="33"/>
        <v>521.5</v>
      </c>
      <c r="W208" s="21">
        <f>+Tabla4[[#This Row],[9KWA]]*350</f>
        <v>486.49999999999994</v>
      </c>
      <c r="X208" s="21">
        <f>350*Tabla4[[#This Row],[Max Factor Medido]]</f>
        <v>521.5</v>
      </c>
      <c r="Y208" s="39">
        <v>0.94</v>
      </c>
      <c r="Z208" s="3">
        <f t="shared" si="34"/>
        <v>2025</v>
      </c>
      <c r="AA208" s="21">
        <f>+MEDIAN(Tabla4[[#This Row],[kwreal 6]:[kwreal 9]])</f>
        <v>498.22500000000002</v>
      </c>
      <c r="AB208" s="21">
        <f>+Tabla4[[#This Row],[LineaBase-FD]]/350</f>
        <v>1.4235</v>
      </c>
    </row>
    <row r="209" spans="1:28" x14ac:dyDescent="0.3">
      <c r="A209" s="28">
        <v>67408</v>
      </c>
      <c r="B209" s="3">
        <v>25353</v>
      </c>
      <c r="C209" s="3">
        <v>8389</v>
      </c>
      <c r="D209" s="3">
        <v>30691</v>
      </c>
      <c r="E209" s="3">
        <v>2973</v>
      </c>
      <c r="F209" s="77">
        <v>1.4550000000000001</v>
      </c>
      <c r="G209" s="77">
        <v>1.3919999999999999</v>
      </c>
      <c r="H209" s="77">
        <v>1.49</v>
      </c>
      <c r="I209" s="77">
        <v>1.39</v>
      </c>
      <c r="J209" s="3">
        <v>22743</v>
      </c>
      <c r="K209" s="15">
        <v>0.29375000000000001</v>
      </c>
      <c r="L209" s="5">
        <f t="shared" si="26"/>
        <v>45865</v>
      </c>
      <c r="M209" s="3">
        <v>0.94</v>
      </c>
      <c r="N209" s="22">
        <v>9.1199999999999992</v>
      </c>
      <c r="O209" s="22">
        <f>+MAX(Tabla4[[#This Row],[6KWA]:[9KWA]])</f>
        <v>1.49</v>
      </c>
      <c r="P209" s="3">
        <f t="shared" si="27"/>
        <v>27</v>
      </c>
      <c r="Q209" s="3">
        <f t="shared" si="28"/>
        <v>7</v>
      </c>
      <c r="R209" s="3">
        <f t="shared" si="29"/>
        <v>31</v>
      </c>
      <c r="S209" s="3" t="str">
        <f t="shared" si="30"/>
        <v>julio</v>
      </c>
      <c r="T209" s="21">
        <f t="shared" si="31"/>
        <v>509.25</v>
      </c>
      <c r="U209" s="21">
        <f t="shared" si="32"/>
        <v>487.2</v>
      </c>
      <c r="V209" s="21">
        <f t="shared" si="33"/>
        <v>521.5</v>
      </c>
      <c r="W209" s="21">
        <f>+Tabla4[[#This Row],[9KWA]]*350</f>
        <v>486.49999999999994</v>
      </c>
      <c r="X209" s="21">
        <f>350*Tabla4[[#This Row],[Max Factor Medido]]</f>
        <v>521.5</v>
      </c>
      <c r="Y209" s="39">
        <v>0.94</v>
      </c>
      <c r="Z209" s="3">
        <f t="shared" si="34"/>
        <v>2025</v>
      </c>
      <c r="AA209" s="21">
        <f>+MEDIAN(Tabla4[[#This Row],[kwreal 6]:[kwreal 9]])</f>
        <v>498.22500000000002</v>
      </c>
      <c r="AB209" s="21">
        <f>+Tabla4[[#This Row],[LineaBase-FD]]/350</f>
        <v>1.4235</v>
      </c>
    </row>
    <row r="210" spans="1:28" x14ac:dyDescent="0.3">
      <c r="A210" s="28">
        <v>67434</v>
      </c>
      <c r="B210" s="3">
        <v>25353</v>
      </c>
      <c r="C210" s="3">
        <v>8389</v>
      </c>
      <c r="D210" s="3">
        <v>30713</v>
      </c>
      <c r="E210" s="3">
        <v>2977</v>
      </c>
      <c r="F210" s="77">
        <v>1.4550000000000001</v>
      </c>
      <c r="G210" s="77">
        <v>1.3919999999999999</v>
      </c>
      <c r="H210" s="77">
        <v>1.49</v>
      </c>
      <c r="I210" s="77">
        <v>1.39</v>
      </c>
      <c r="J210" s="3">
        <v>22749</v>
      </c>
      <c r="K210" s="15">
        <v>0.29652777777777778</v>
      </c>
      <c r="L210" s="5">
        <f t="shared" si="26"/>
        <v>45866</v>
      </c>
      <c r="M210" s="3">
        <v>0.96</v>
      </c>
      <c r="N210" s="22">
        <v>9.59</v>
      </c>
      <c r="O210" s="22">
        <f>+MAX(Tabla4[[#This Row],[6KWA]:[9KWA]])</f>
        <v>1.49</v>
      </c>
      <c r="P210" s="3">
        <f t="shared" si="27"/>
        <v>28</v>
      </c>
      <c r="Q210" s="3">
        <f t="shared" si="28"/>
        <v>7</v>
      </c>
      <c r="R210" s="3">
        <f t="shared" si="29"/>
        <v>31</v>
      </c>
      <c r="S210" s="3" t="str">
        <f t="shared" si="30"/>
        <v>julio</v>
      </c>
      <c r="T210" s="21">
        <f t="shared" si="31"/>
        <v>509.25</v>
      </c>
      <c r="U210" s="21">
        <f t="shared" si="32"/>
        <v>487.2</v>
      </c>
      <c r="V210" s="21">
        <f t="shared" si="33"/>
        <v>521.5</v>
      </c>
      <c r="W210" s="21">
        <f>+Tabla4[[#This Row],[9KWA]]*350</f>
        <v>486.49999999999994</v>
      </c>
      <c r="X210" s="21">
        <f>350*Tabla4[[#This Row],[Max Factor Medido]]</f>
        <v>521.5</v>
      </c>
      <c r="Y210" s="39">
        <v>0.94</v>
      </c>
      <c r="Z210" s="3">
        <f t="shared" si="34"/>
        <v>2025</v>
      </c>
      <c r="AA210" s="21">
        <f>+MEDIAN(Tabla4[[#This Row],[kwreal 6]:[kwreal 9]])</f>
        <v>498.22500000000002</v>
      </c>
      <c r="AB210" s="21">
        <f>+Tabla4[[#This Row],[LineaBase-FD]]/350</f>
        <v>1.4235</v>
      </c>
    </row>
    <row r="211" spans="1:28" x14ac:dyDescent="0.3">
      <c r="A211" s="28">
        <v>67462</v>
      </c>
      <c r="B211" s="3">
        <v>25365</v>
      </c>
      <c r="C211" s="3">
        <v>8394</v>
      </c>
      <c r="D211" s="3">
        <v>30724</v>
      </c>
      <c r="E211" s="3">
        <v>2977</v>
      </c>
      <c r="F211" s="77">
        <v>1.4550000000000001</v>
      </c>
      <c r="G211" s="77">
        <v>1.3919999999999999</v>
      </c>
      <c r="H211" s="77">
        <v>1.49</v>
      </c>
      <c r="I211" s="77">
        <v>1.39</v>
      </c>
      <c r="J211" s="3">
        <v>22757</v>
      </c>
      <c r="K211" s="15">
        <v>0.29166666666666669</v>
      </c>
      <c r="L211" s="5">
        <f t="shared" si="26"/>
        <v>45867</v>
      </c>
      <c r="M211" s="3">
        <v>0.96</v>
      </c>
      <c r="N211" s="22">
        <v>1.07</v>
      </c>
      <c r="O211" s="22">
        <f>+MAX(Tabla4[[#This Row],[6KWA]:[9KWA]])</f>
        <v>1.49</v>
      </c>
      <c r="P211" s="3">
        <f t="shared" si="27"/>
        <v>29</v>
      </c>
      <c r="Q211" s="3">
        <f t="shared" si="28"/>
        <v>7</v>
      </c>
      <c r="R211" s="3">
        <f t="shared" si="29"/>
        <v>31</v>
      </c>
      <c r="S211" s="3" t="str">
        <f t="shared" si="30"/>
        <v>julio</v>
      </c>
      <c r="T211" s="21">
        <f t="shared" si="31"/>
        <v>509.25</v>
      </c>
      <c r="U211" s="21">
        <f t="shared" si="32"/>
        <v>487.2</v>
      </c>
      <c r="V211" s="21">
        <f t="shared" si="33"/>
        <v>521.5</v>
      </c>
      <c r="W211" s="21">
        <f>+Tabla4[[#This Row],[9KWA]]*350</f>
        <v>486.49999999999994</v>
      </c>
      <c r="X211" s="21">
        <f>350*Tabla4[[#This Row],[Max Factor Medido]]</f>
        <v>521.5</v>
      </c>
      <c r="Y211" s="39">
        <v>0.94</v>
      </c>
      <c r="Z211" s="3">
        <f t="shared" si="34"/>
        <v>2025</v>
      </c>
      <c r="AA211" s="21">
        <f>+MEDIAN(Tabla4[[#This Row],[kwreal 6]:[kwreal 9]])</f>
        <v>498.22500000000002</v>
      </c>
      <c r="AB211" s="21">
        <f>+Tabla4[[#This Row],[LineaBase-FD]]/350</f>
        <v>1.4235</v>
      </c>
    </row>
    <row r="212" spans="1:28" x14ac:dyDescent="0.3">
      <c r="A212" s="28">
        <v>67489</v>
      </c>
      <c r="B212" s="3">
        <v>25377</v>
      </c>
      <c r="C212" s="3">
        <v>8399</v>
      </c>
      <c r="D212" s="3">
        <v>30734</v>
      </c>
      <c r="E212" s="3">
        <v>2977</v>
      </c>
      <c r="F212" s="77">
        <v>1.4550000000000001</v>
      </c>
      <c r="G212" s="77">
        <v>1.3919999999999999</v>
      </c>
      <c r="H212" s="77">
        <v>1.49</v>
      </c>
      <c r="I212" s="77">
        <v>1.39</v>
      </c>
      <c r="J212" s="3">
        <v>22765</v>
      </c>
      <c r="K212" s="15">
        <v>0.26944444444444443</v>
      </c>
      <c r="L212" s="5">
        <f t="shared" si="26"/>
        <v>45868</v>
      </c>
      <c r="M212" s="3">
        <v>0.95</v>
      </c>
      <c r="N212" s="22">
        <v>1.1220000000000001</v>
      </c>
      <c r="O212" s="22">
        <f>+MAX(Tabla4[[#This Row],[6KWA]:[9KWA]])</f>
        <v>1.49</v>
      </c>
      <c r="P212" s="3">
        <f t="shared" si="27"/>
        <v>30</v>
      </c>
      <c r="Q212" s="3">
        <f t="shared" si="28"/>
        <v>7</v>
      </c>
      <c r="R212" s="3">
        <f t="shared" si="29"/>
        <v>31</v>
      </c>
      <c r="S212" s="3" t="str">
        <f t="shared" si="30"/>
        <v>julio</v>
      </c>
      <c r="T212" s="21">
        <f t="shared" si="31"/>
        <v>509.25</v>
      </c>
      <c r="U212" s="21">
        <f t="shared" si="32"/>
        <v>487.2</v>
      </c>
      <c r="V212" s="21">
        <f t="shared" si="33"/>
        <v>521.5</v>
      </c>
      <c r="W212" s="21">
        <f>+Tabla4[[#This Row],[9KWA]]*350</f>
        <v>486.49999999999994</v>
      </c>
      <c r="X212" s="21">
        <f>350*Tabla4[[#This Row],[Max Factor Medido]]</f>
        <v>521.5</v>
      </c>
      <c r="Y212" s="39">
        <v>0.94</v>
      </c>
      <c r="Z212" s="3">
        <f t="shared" si="34"/>
        <v>2025</v>
      </c>
      <c r="AA212" s="21">
        <f>+MEDIAN(Tabla4[[#This Row],[kwreal 6]:[kwreal 9]])</f>
        <v>498.22500000000002</v>
      </c>
      <c r="AB212" s="21">
        <f>+Tabla4[[#This Row],[LineaBase-FD]]/350</f>
        <v>1.4235</v>
      </c>
    </row>
    <row r="213" spans="1:28" x14ac:dyDescent="0.3">
      <c r="A213" s="28">
        <v>64518</v>
      </c>
      <c r="B213" s="3">
        <v>25389</v>
      </c>
      <c r="C213" s="3">
        <v>8404</v>
      </c>
      <c r="D213" s="3">
        <v>30746</v>
      </c>
      <c r="E213" s="3">
        <v>2977</v>
      </c>
      <c r="F213" s="77">
        <v>1.4550000000000001</v>
      </c>
      <c r="G213" s="77">
        <v>1.3919999999999999</v>
      </c>
      <c r="H213" s="77">
        <v>1.49</v>
      </c>
      <c r="I213" s="77">
        <v>1.39</v>
      </c>
      <c r="J213" s="3">
        <v>22774</v>
      </c>
      <c r="K213" s="15">
        <v>0.2722222222222222</v>
      </c>
      <c r="L213" s="5">
        <f t="shared" si="26"/>
        <v>45869</v>
      </c>
      <c r="M213" s="3">
        <v>0.97</v>
      </c>
      <c r="N213" s="22">
        <v>1.101</v>
      </c>
      <c r="O213" s="22">
        <f>+MAX(Tabla4[[#This Row],[6KWA]:[9KWA]])</f>
        <v>1.49</v>
      </c>
      <c r="P213" s="3">
        <f t="shared" si="27"/>
        <v>31</v>
      </c>
      <c r="Q213" s="3">
        <f t="shared" si="28"/>
        <v>7</v>
      </c>
      <c r="R213" s="3">
        <f t="shared" si="29"/>
        <v>31</v>
      </c>
      <c r="S213" s="3" t="str">
        <f t="shared" si="30"/>
        <v>julio</v>
      </c>
      <c r="T213" s="21">
        <f t="shared" si="31"/>
        <v>509.25</v>
      </c>
      <c r="U213" s="21">
        <f t="shared" si="32"/>
        <v>487.2</v>
      </c>
      <c r="V213" s="21">
        <f t="shared" si="33"/>
        <v>521.5</v>
      </c>
      <c r="W213" s="21">
        <f>+Tabla4[[#This Row],[9KWA]]*350</f>
        <v>486.49999999999994</v>
      </c>
      <c r="X213" s="21">
        <f>350*Tabla4[[#This Row],[Max Factor Medido]]</f>
        <v>521.5</v>
      </c>
      <c r="Y213" s="39">
        <v>0.94</v>
      </c>
      <c r="Z213" s="3">
        <f t="shared" si="34"/>
        <v>2025</v>
      </c>
      <c r="AA213" s="21">
        <f>+MEDIAN(Tabla4[[#This Row],[kwreal 6]:[kwreal 9]])</f>
        <v>498.22500000000002</v>
      </c>
      <c r="AB213" s="21">
        <f>+Tabla4[[#This Row],[LineaBase-FD]]/350</f>
        <v>1.4235</v>
      </c>
    </row>
    <row r="214" spans="1:28" x14ac:dyDescent="0.3">
      <c r="A214" s="28">
        <v>67548</v>
      </c>
      <c r="B214" s="3">
        <v>25402</v>
      </c>
      <c r="C214" s="3">
        <v>8409</v>
      </c>
      <c r="D214" s="3">
        <v>30768</v>
      </c>
      <c r="E214" s="3">
        <v>2977</v>
      </c>
      <c r="F214" s="77">
        <v>0</v>
      </c>
      <c r="G214" s="77">
        <v>0</v>
      </c>
      <c r="H214" s="77">
        <v>1.2250000000000001</v>
      </c>
      <c r="I214" s="77">
        <v>0</v>
      </c>
      <c r="J214" s="3">
        <v>22783</v>
      </c>
      <c r="K214" s="15">
        <v>0.29166666666666669</v>
      </c>
      <c r="L214" s="5">
        <v>45870</v>
      </c>
      <c r="M214" s="3">
        <v>0.97</v>
      </c>
      <c r="N214" s="22">
        <v>1.173</v>
      </c>
      <c r="O214" s="22">
        <f>+MAX(Tabla4[[#This Row],[6KWA]:[9KWA]])</f>
        <v>1.2250000000000001</v>
      </c>
      <c r="P214" s="3">
        <f t="shared" si="27"/>
        <v>1</v>
      </c>
      <c r="Q214" s="3">
        <f t="shared" si="28"/>
        <v>8</v>
      </c>
      <c r="R214" s="3">
        <f t="shared" si="29"/>
        <v>31</v>
      </c>
      <c r="S214" s="3" t="str">
        <f t="shared" si="30"/>
        <v>agosto</v>
      </c>
      <c r="T214" s="21">
        <f t="shared" si="31"/>
        <v>0</v>
      </c>
      <c r="U214" s="21">
        <f t="shared" si="32"/>
        <v>0</v>
      </c>
      <c r="V214" s="21">
        <f t="shared" si="33"/>
        <v>428.75000000000006</v>
      </c>
      <c r="W214" s="21">
        <f>+Tabla4[[#This Row],[9KWA]]*350</f>
        <v>0</v>
      </c>
      <c r="X214" s="21">
        <f>350*Tabla4[[#This Row],[Max Factor Medido]]</f>
        <v>428.75000000000006</v>
      </c>
      <c r="Y214" s="39">
        <v>0.94</v>
      </c>
      <c r="Z214" s="3">
        <f t="shared" si="34"/>
        <v>2025</v>
      </c>
      <c r="AA214" s="21">
        <f>+MEDIAN(Tabla4[[#This Row],[kwreal 6]:[kwreal 9]])</f>
        <v>0</v>
      </c>
      <c r="AB214" s="21">
        <f>+Tabla4[[#This Row],[LineaBase-FD]]/350</f>
        <v>0</v>
      </c>
    </row>
    <row r="215" spans="1:28" x14ac:dyDescent="0.3">
      <c r="A215" s="28">
        <v>67575</v>
      </c>
      <c r="B215" s="3">
        <v>25414</v>
      </c>
      <c r="C215" s="3">
        <v>8413</v>
      </c>
      <c r="D215" s="3">
        <v>30769</v>
      </c>
      <c r="E215" s="3">
        <v>2977</v>
      </c>
      <c r="F215" s="77">
        <v>1.3640000000000001</v>
      </c>
      <c r="G215" s="77">
        <v>1.3109999999999999</v>
      </c>
      <c r="H215" s="77">
        <v>1.282</v>
      </c>
      <c r="I215" s="77">
        <v>0</v>
      </c>
      <c r="J215" s="3">
        <v>22791</v>
      </c>
      <c r="K215" s="15">
        <v>0.29166666666666669</v>
      </c>
      <c r="L215" s="5">
        <f t="shared" ref="L215:L244" si="35">L214+1</f>
        <v>45871</v>
      </c>
      <c r="M215" s="3">
        <v>0.94</v>
      </c>
      <c r="N215" s="22">
        <v>1.0940000000000001</v>
      </c>
      <c r="O215" s="22">
        <f>+MAX(Tabla4[[#This Row],[6KWA]:[9KWA]])</f>
        <v>1.3640000000000001</v>
      </c>
      <c r="P215" s="3">
        <f t="shared" si="27"/>
        <v>2</v>
      </c>
      <c r="Q215" s="3">
        <f t="shared" si="28"/>
        <v>8</v>
      </c>
      <c r="R215" s="3">
        <f t="shared" si="29"/>
        <v>31</v>
      </c>
      <c r="S215" s="3" t="str">
        <f t="shared" si="30"/>
        <v>agosto</v>
      </c>
      <c r="T215" s="21">
        <f t="shared" si="31"/>
        <v>477.40000000000003</v>
      </c>
      <c r="U215" s="21">
        <f t="shared" si="32"/>
        <v>458.84999999999997</v>
      </c>
      <c r="V215" s="21">
        <f t="shared" si="33"/>
        <v>448.7</v>
      </c>
      <c r="W215" s="21">
        <f>+Tabla4[[#This Row],[9KWA]]*350</f>
        <v>0</v>
      </c>
      <c r="X215" s="21">
        <f>350*Tabla4[[#This Row],[Max Factor Medido]]</f>
        <v>477.40000000000003</v>
      </c>
      <c r="Y215" s="39">
        <v>0.94</v>
      </c>
      <c r="Z215" s="3">
        <f t="shared" si="34"/>
        <v>2025</v>
      </c>
      <c r="AA215" s="21">
        <f>+MEDIAN(Tabla4[[#This Row],[kwreal 6]:[kwreal 9]])</f>
        <v>453.77499999999998</v>
      </c>
      <c r="AB215" s="21">
        <f>+Tabla4[[#This Row],[LineaBase-FD]]/350</f>
        <v>1.2965</v>
      </c>
    </row>
    <row r="216" spans="1:28" x14ac:dyDescent="0.3">
      <c r="A216" s="28">
        <v>67604</v>
      </c>
      <c r="B216" s="3">
        <v>25414</v>
      </c>
      <c r="C216" s="3">
        <v>8413</v>
      </c>
      <c r="D216" s="3">
        <v>30792</v>
      </c>
      <c r="E216" s="3">
        <v>2982</v>
      </c>
      <c r="F216" s="77">
        <v>1.3640000000000001</v>
      </c>
      <c r="G216" s="77">
        <v>1.3109999999999999</v>
      </c>
      <c r="H216" s="77">
        <v>1.371</v>
      </c>
      <c r="I216" s="77">
        <v>1.3480000000000001</v>
      </c>
      <c r="J216" s="3">
        <v>22800</v>
      </c>
      <c r="K216" s="15">
        <v>0.29166666666666669</v>
      </c>
      <c r="L216" s="5">
        <f t="shared" si="35"/>
        <v>45872</v>
      </c>
      <c r="M216" s="3">
        <v>0.94</v>
      </c>
      <c r="N216" s="22">
        <v>1.105</v>
      </c>
      <c r="O216" s="22">
        <f>+MAX(Tabla4[[#This Row],[6KWA]:[9KWA]])</f>
        <v>1.371</v>
      </c>
      <c r="P216" s="3">
        <f t="shared" si="27"/>
        <v>3</v>
      </c>
      <c r="Q216" s="3">
        <f t="shared" si="28"/>
        <v>8</v>
      </c>
      <c r="R216" s="3">
        <f t="shared" si="29"/>
        <v>32</v>
      </c>
      <c r="S216" s="3" t="str">
        <f t="shared" si="30"/>
        <v>agosto</v>
      </c>
      <c r="T216" s="21">
        <f t="shared" si="31"/>
        <v>477.40000000000003</v>
      </c>
      <c r="U216" s="21">
        <f t="shared" si="32"/>
        <v>458.84999999999997</v>
      </c>
      <c r="V216" s="21">
        <f t="shared" si="33"/>
        <v>479.85</v>
      </c>
      <c r="W216" s="21">
        <f>+Tabla4[[#This Row],[9KWA]]*350</f>
        <v>471.8</v>
      </c>
      <c r="X216" s="21">
        <f>350*Tabla4[[#This Row],[Max Factor Medido]]</f>
        <v>479.85</v>
      </c>
      <c r="Y216" s="39">
        <v>0.94</v>
      </c>
      <c r="Z216" s="3">
        <f t="shared" si="34"/>
        <v>2025</v>
      </c>
      <c r="AA216" s="21">
        <f>+MEDIAN(Tabla4[[#This Row],[kwreal 6]:[kwreal 9]])</f>
        <v>474.6</v>
      </c>
      <c r="AB216" s="21">
        <f>+Tabla4[[#This Row],[LineaBase-FD]]/350</f>
        <v>1.3560000000000001</v>
      </c>
    </row>
    <row r="217" spans="1:28" x14ac:dyDescent="0.3">
      <c r="A217" s="28">
        <v>24</v>
      </c>
      <c r="B217" s="3">
        <v>0</v>
      </c>
      <c r="C217" s="3">
        <v>0</v>
      </c>
      <c r="D217" s="3">
        <v>19</v>
      </c>
      <c r="E217" s="3">
        <v>4</v>
      </c>
      <c r="F217" s="77">
        <v>0.31</v>
      </c>
      <c r="G217" s="77">
        <v>0</v>
      </c>
      <c r="H217" s="77">
        <v>1.4279999999999999</v>
      </c>
      <c r="I217" s="77">
        <v>1.3480000000000001</v>
      </c>
      <c r="J217" s="3">
        <v>10</v>
      </c>
      <c r="K217" s="15">
        <v>0.29166666666666669</v>
      </c>
      <c r="L217" s="5">
        <f t="shared" si="35"/>
        <v>45873</v>
      </c>
      <c r="M217" s="3">
        <v>0.94</v>
      </c>
      <c r="N217" s="22">
        <v>8.14</v>
      </c>
      <c r="O217" s="22">
        <f>+MAX(Tabla4[[#This Row],[6KWA]:[9KWA]])</f>
        <v>1.4279999999999999</v>
      </c>
      <c r="P217" s="3">
        <f t="shared" si="27"/>
        <v>4</v>
      </c>
      <c r="Q217" s="3">
        <f t="shared" si="28"/>
        <v>8</v>
      </c>
      <c r="R217" s="3">
        <f t="shared" si="29"/>
        <v>32</v>
      </c>
      <c r="S217" s="3" t="str">
        <f t="shared" si="30"/>
        <v>agosto</v>
      </c>
      <c r="T217" s="21">
        <f t="shared" si="31"/>
        <v>108.5</v>
      </c>
      <c r="U217" s="21">
        <f t="shared" si="32"/>
        <v>0</v>
      </c>
      <c r="V217" s="21">
        <f t="shared" si="33"/>
        <v>499.79999999999995</v>
      </c>
      <c r="W217" s="21">
        <f>+Tabla4[[#This Row],[9KWA]]*350</f>
        <v>471.8</v>
      </c>
      <c r="X217" s="21">
        <f>350*Tabla4[[#This Row],[Max Factor Medido]]</f>
        <v>499.79999999999995</v>
      </c>
      <c r="Y217" s="39">
        <v>0.94</v>
      </c>
      <c r="Z217" s="3">
        <f t="shared" si="34"/>
        <v>2025</v>
      </c>
      <c r="AA217" s="21">
        <f>+MEDIAN(Tabla4[[#This Row],[kwreal 6]:[kwreal 9]])</f>
        <v>290.14999999999998</v>
      </c>
      <c r="AB217" s="21">
        <f>+Tabla4[[#This Row],[LineaBase-FD]]/350</f>
        <v>0.82899999999999996</v>
      </c>
    </row>
    <row r="218" spans="1:28" x14ac:dyDescent="0.3">
      <c r="A218" s="29">
        <v>24</v>
      </c>
      <c r="B218" s="2">
        <v>0</v>
      </c>
      <c r="C218" s="2">
        <v>0</v>
      </c>
      <c r="D218" s="2">
        <v>19</v>
      </c>
      <c r="E218" s="2">
        <v>4</v>
      </c>
      <c r="F218" s="77">
        <v>0.31</v>
      </c>
      <c r="G218" s="77">
        <v>0</v>
      </c>
      <c r="H218" s="77">
        <v>1.4279999999999999</v>
      </c>
      <c r="I218" s="77">
        <v>1.3180000000000001</v>
      </c>
      <c r="J218" s="2">
        <v>10</v>
      </c>
      <c r="K218" s="8">
        <v>0.34861111111111109</v>
      </c>
      <c r="L218" s="6">
        <f t="shared" si="35"/>
        <v>45874</v>
      </c>
      <c r="M218" s="2">
        <v>0.94</v>
      </c>
      <c r="N218" s="22">
        <v>8.14</v>
      </c>
      <c r="O218" s="22">
        <f>+MAX(Tabla4[[#This Row],[6KWA]:[9KWA]])</f>
        <v>1.4279999999999999</v>
      </c>
      <c r="P218" s="3">
        <f t="shared" si="27"/>
        <v>5</v>
      </c>
      <c r="Q218" s="3">
        <f t="shared" si="28"/>
        <v>8</v>
      </c>
      <c r="R218" s="3">
        <f t="shared" si="29"/>
        <v>32</v>
      </c>
      <c r="S218" s="3" t="str">
        <f t="shared" si="30"/>
        <v>agosto</v>
      </c>
      <c r="T218" s="21">
        <f t="shared" si="31"/>
        <v>108.5</v>
      </c>
      <c r="U218" s="21">
        <f t="shared" si="32"/>
        <v>0</v>
      </c>
      <c r="V218" s="21">
        <f t="shared" si="33"/>
        <v>499.79999999999995</v>
      </c>
      <c r="W218" s="21">
        <f>+Tabla4[[#This Row],[9KWA]]*350</f>
        <v>461.3</v>
      </c>
      <c r="X218" s="21">
        <f>350*Tabla4[[#This Row],[Max Factor Medido]]</f>
        <v>499.79999999999995</v>
      </c>
      <c r="Y218" s="39">
        <v>0.94</v>
      </c>
      <c r="Z218" s="3">
        <f t="shared" si="34"/>
        <v>2025</v>
      </c>
      <c r="AA218" s="21">
        <f>+MEDIAN(Tabla4[[#This Row],[kwreal 6]:[kwreal 9]])</f>
        <v>284.89999999999998</v>
      </c>
      <c r="AB218" s="21">
        <f>+Tabla4[[#This Row],[LineaBase-FD]]/350</f>
        <v>0.81399999999999995</v>
      </c>
    </row>
    <row r="219" spans="1:28" x14ac:dyDescent="0.3">
      <c r="A219" s="28">
        <v>77</v>
      </c>
      <c r="B219" s="3">
        <v>23</v>
      </c>
      <c r="C219" s="3">
        <v>9</v>
      </c>
      <c r="D219" s="3">
        <v>39</v>
      </c>
      <c r="E219" s="3">
        <v>4</v>
      </c>
      <c r="F219" s="77">
        <v>1.3180000000000001</v>
      </c>
      <c r="G219" s="77">
        <v>1.361</v>
      </c>
      <c r="H219" s="77">
        <v>1.4279999999999999</v>
      </c>
      <c r="I219" s="77">
        <v>1.3180000000000001</v>
      </c>
      <c r="J219" s="3">
        <v>26</v>
      </c>
      <c r="K219" s="15">
        <v>0.28125</v>
      </c>
      <c r="L219" s="5">
        <f t="shared" si="35"/>
        <v>45875</v>
      </c>
      <c r="M219" s="3">
        <v>0.95</v>
      </c>
      <c r="N219" s="22">
        <v>1.0780000000000001</v>
      </c>
      <c r="O219" s="22">
        <f>+MAX(Tabla4[[#This Row],[6KWA]:[9KWA]])</f>
        <v>1.4279999999999999</v>
      </c>
      <c r="P219" s="3">
        <f t="shared" si="27"/>
        <v>6</v>
      </c>
      <c r="Q219" s="3">
        <f t="shared" si="28"/>
        <v>8</v>
      </c>
      <c r="R219" s="3">
        <f t="shared" si="29"/>
        <v>32</v>
      </c>
      <c r="S219" s="3" t="str">
        <f t="shared" si="30"/>
        <v>agosto</v>
      </c>
      <c r="T219" s="21">
        <f t="shared" si="31"/>
        <v>461.3</v>
      </c>
      <c r="U219" s="21">
        <f t="shared" si="32"/>
        <v>476.35</v>
      </c>
      <c r="V219" s="21">
        <f t="shared" si="33"/>
        <v>499.79999999999995</v>
      </c>
      <c r="W219" s="21">
        <f>+Tabla4[[#This Row],[9KWA]]*350</f>
        <v>461.3</v>
      </c>
      <c r="X219" s="21">
        <f>350*Tabla4[[#This Row],[Max Factor Medido]]</f>
        <v>499.79999999999995</v>
      </c>
      <c r="Y219" s="39">
        <v>0.94</v>
      </c>
      <c r="Z219" s="3">
        <f t="shared" si="34"/>
        <v>2025</v>
      </c>
      <c r="AA219" s="21">
        <f>+MEDIAN(Tabla4[[#This Row],[kwreal 6]:[kwreal 9]])</f>
        <v>468.82500000000005</v>
      </c>
      <c r="AB219" s="21">
        <f>+Tabla4[[#This Row],[LineaBase-FD]]/350</f>
        <v>1.3395000000000001</v>
      </c>
    </row>
    <row r="220" spans="1:28" x14ac:dyDescent="0.3">
      <c r="A220" s="28">
        <v>104</v>
      </c>
      <c r="B220" s="3">
        <v>35</v>
      </c>
      <c r="C220" s="3">
        <v>13</v>
      </c>
      <c r="D220" s="3">
        <v>50</v>
      </c>
      <c r="E220" s="3">
        <v>4</v>
      </c>
      <c r="F220" s="77">
        <v>1.377</v>
      </c>
      <c r="G220" s="77">
        <v>1.361</v>
      </c>
      <c r="H220" s="77">
        <v>1.4279999999999999</v>
      </c>
      <c r="I220" s="77">
        <v>1.3180000000000001</v>
      </c>
      <c r="J220" s="3">
        <v>35</v>
      </c>
      <c r="K220" s="15">
        <v>0.27916666666666667</v>
      </c>
      <c r="L220" s="5">
        <f t="shared" si="35"/>
        <v>45876</v>
      </c>
      <c r="M220" s="3">
        <v>0.94</v>
      </c>
      <c r="N220" s="22">
        <v>1.0580000000000001</v>
      </c>
      <c r="O220" s="22">
        <f>+MAX(Tabla4[[#This Row],[6KWA]:[9KWA]])</f>
        <v>1.4279999999999999</v>
      </c>
      <c r="P220" s="3">
        <f t="shared" si="27"/>
        <v>7</v>
      </c>
      <c r="Q220" s="3">
        <f t="shared" si="28"/>
        <v>8</v>
      </c>
      <c r="R220" s="3">
        <f t="shared" si="29"/>
        <v>32</v>
      </c>
      <c r="S220" s="3" t="str">
        <f t="shared" si="30"/>
        <v>agosto</v>
      </c>
      <c r="T220" s="21">
        <f t="shared" si="31"/>
        <v>481.95</v>
      </c>
      <c r="U220" s="21">
        <f t="shared" si="32"/>
        <v>476.35</v>
      </c>
      <c r="V220" s="21">
        <f t="shared" si="33"/>
        <v>499.79999999999995</v>
      </c>
      <c r="W220" s="21">
        <f>+Tabla4[[#This Row],[9KWA]]*350</f>
        <v>461.3</v>
      </c>
      <c r="X220" s="21">
        <f>350*Tabla4[[#This Row],[Max Factor Medido]]</f>
        <v>499.79999999999995</v>
      </c>
      <c r="Y220" s="39">
        <v>0.94</v>
      </c>
      <c r="Z220" s="3">
        <f t="shared" si="34"/>
        <v>2025</v>
      </c>
      <c r="AA220" s="21">
        <f>+MEDIAN(Tabla4[[#This Row],[kwreal 6]:[kwreal 9]])</f>
        <v>479.15</v>
      </c>
      <c r="AB220" s="21">
        <f>+Tabla4[[#This Row],[LineaBase-FD]]/350</f>
        <v>1.369</v>
      </c>
    </row>
    <row r="221" spans="1:28" x14ac:dyDescent="0.3">
      <c r="A221" s="28">
        <v>133</v>
      </c>
      <c r="B221" s="3">
        <v>47</v>
      </c>
      <c r="C221" s="3">
        <v>18</v>
      </c>
      <c r="D221" s="3">
        <v>62</v>
      </c>
      <c r="E221" s="3">
        <v>4</v>
      </c>
      <c r="F221" s="77">
        <v>1.4359999999999999</v>
      </c>
      <c r="G221" s="77">
        <v>1.361</v>
      </c>
      <c r="H221" s="77">
        <v>1.4279999999999999</v>
      </c>
      <c r="I221" s="77">
        <v>1.3180000000000001</v>
      </c>
      <c r="J221" s="3">
        <v>44</v>
      </c>
      <c r="K221" s="15">
        <v>0.28611111111111109</v>
      </c>
      <c r="L221" s="5">
        <f t="shared" si="35"/>
        <v>45877</v>
      </c>
      <c r="M221" s="3">
        <v>0.96</v>
      </c>
      <c r="N221" s="22">
        <v>1.1120000000000001</v>
      </c>
      <c r="O221" s="22">
        <f>+MAX(Tabla4[[#This Row],[6KWA]:[9KWA]])</f>
        <v>1.4359999999999999</v>
      </c>
      <c r="P221" s="3">
        <f t="shared" si="27"/>
        <v>8</v>
      </c>
      <c r="Q221" s="3">
        <f t="shared" si="28"/>
        <v>8</v>
      </c>
      <c r="R221" s="3">
        <f t="shared" si="29"/>
        <v>32</v>
      </c>
      <c r="S221" s="3" t="str">
        <f t="shared" si="30"/>
        <v>agosto</v>
      </c>
      <c r="T221" s="21">
        <f t="shared" si="31"/>
        <v>502.59999999999997</v>
      </c>
      <c r="U221" s="21">
        <f t="shared" si="32"/>
        <v>476.35</v>
      </c>
      <c r="V221" s="21">
        <f t="shared" si="33"/>
        <v>499.79999999999995</v>
      </c>
      <c r="W221" s="21">
        <f>+Tabla4[[#This Row],[9KWA]]*350</f>
        <v>461.3</v>
      </c>
      <c r="X221" s="21">
        <f>350*Tabla4[[#This Row],[Max Factor Medido]]</f>
        <v>502.59999999999997</v>
      </c>
      <c r="Y221" s="39">
        <v>0.94</v>
      </c>
      <c r="Z221" s="3">
        <f t="shared" si="34"/>
        <v>2025</v>
      </c>
      <c r="AA221" s="21">
        <f>+MEDIAN(Tabla4[[#This Row],[kwreal 6]:[kwreal 9]])</f>
        <v>488.07499999999999</v>
      </c>
      <c r="AB221" s="21">
        <f>+Tabla4[[#This Row],[LineaBase-FD]]/350</f>
        <v>1.3945000000000001</v>
      </c>
    </row>
    <row r="222" spans="1:28" x14ac:dyDescent="0.3">
      <c r="A222" s="28">
        <v>160</v>
      </c>
      <c r="B222" s="3">
        <v>59</v>
      </c>
      <c r="C222" s="3">
        <v>23</v>
      </c>
      <c r="D222" s="3">
        <v>73</v>
      </c>
      <c r="E222" s="3">
        <v>4</v>
      </c>
      <c r="F222" s="77">
        <v>1.4359999999999999</v>
      </c>
      <c r="G222" s="77">
        <v>1.361</v>
      </c>
      <c r="H222" s="77">
        <v>1.4279999999999999</v>
      </c>
      <c r="I222" s="77">
        <v>1.3180000000000001</v>
      </c>
      <c r="J222" s="3">
        <v>52</v>
      </c>
      <c r="K222" s="15">
        <v>0.28402777777777777</v>
      </c>
      <c r="L222" s="5">
        <f t="shared" si="35"/>
        <v>45878</v>
      </c>
      <c r="M222" s="3">
        <v>0.95</v>
      </c>
      <c r="N222" s="22">
        <v>1.048</v>
      </c>
      <c r="O222" s="22">
        <f>+MAX(Tabla4[[#This Row],[6KWA]:[9KWA]])</f>
        <v>1.4359999999999999</v>
      </c>
      <c r="P222" s="3">
        <f t="shared" si="27"/>
        <v>9</v>
      </c>
      <c r="Q222" s="3">
        <f t="shared" si="28"/>
        <v>8</v>
      </c>
      <c r="R222" s="3">
        <f t="shared" si="29"/>
        <v>32</v>
      </c>
      <c r="S222" s="3" t="str">
        <f t="shared" si="30"/>
        <v>agosto</v>
      </c>
      <c r="T222" s="21">
        <f t="shared" si="31"/>
        <v>502.59999999999997</v>
      </c>
      <c r="U222" s="21">
        <f t="shared" si="32"/>
        <v>476.35</v>
      </c>
      <c r="V222" s="21">
        <f t="shared" si="33"/>
        <v>499.79999999999995</v>
      </c>
      <c r="W222" s="21">
        <f>+Tabla4[[#This Row],[9KWA]]*350</f>
        <v>461.3</v>
      </c>
      <c r="X222" s="21">
        <f>350*Tabla4[[#This Row],[Max Factor Medido]]</f>
        <v>502.59999999999997</v>
      </c>
      <c r="Y222" s="39">
        <v>0.94</v>
      </c>
      <c r="Z222" s="3">
        <f t="shared" si="34"/>
        <v>2025</v>
      </c>
      <c r="AA222" s="21">
        <f>+MEDIAN(Tabla4[[#This Row],[kwreal 6]:[kwreal 9]])</f>
        <v>488.07499999999999</v>
      </c>
      <c r="AB222" s="21">
        <f>+Tabla4[[#This Row],[LineaBase-FD]]/350</f>
        <v>1.3945000000000001</v>
      </c>
    </row>
    <row r="223" spans="1:28" x14ac:dyDescent="0.3">
      <c r="A223" s="28">
        <v>188</v>
      </c>
      <c r="B223" s="3">
        <v>59</v>
      </c>
      <c r="C223" s="3">
        <v>23</v>
      </c>
      <c r="D223" s="3">
        <v>96</v>
      </c>
      <c r="E223" s="3">
        <v>9</v>
      </c>
      <c r="F223" s="77">
        <v>1.4359999999999999</v>
      </c>
      <c r="G223" s="77">
        <v>1.361</v>
      </c>
      <c r="H223" s="77">
        <v>1.4279999999999999</v>
      </c>
      <c r="I223" s="77">
        <v>1.3180000000000001</v>
      </c>
      <c r="J223" s="3">
        <v>61</v>
      </c>
      <c r="K223" s="15">
        <v>0.2902777777777778</v>
      </c>
      <c r="L223" s="5">
        <f t="shared" si="35"/>
        <v>45879</v>
      </c>
      <c r="M223" s="3">
        <v>0.94</v>
      </c>
      <c r="N223" s="22">
        <v>8.74</v>
      </c>
      <c r="O223" s="22">
        <f>+MAX(Tabla4[[#This Row],[6KWA]:[9KWA]])</f>
        <v>1.4359999999999999</v>
      </c>
      <c r="P223" s="3">
        <f t="shared" si="27"/>
        <v>10</v>
      </c>
      <c r="Q223" s="3">
        <f t="shared" si="28"/>
        <v>8</v>
      </c>
      <c r="R223" s="3">
        <f t="shared" si="29"/>
        <v>33</v>
      </c>
      <c r="S223" s="3" t="str">
        <f t="shared" si="30"/>
        <v>agosto</v>
      </c>
      <c r="T223" s="21">
        <f t="shared" si="31"/>
        <v>502.59999999999997</v>
      </c>
      <c r="U223" s="21">
        <f t="shared" si="32"/>
        <v>476.35</v>
      </c>
      <c r="V223" s="21">
        <f t="shared" si="33"/>
        <v>499.79999999999995</v>
      </c>
      <c r="W223" s="21">
        <f>+Tabla4[[#This Row],[9KWA]]*350</f>
        <v>461.3</v>
      </c>
      <c r="X223" s="21">
        <f>350*Tabla4[[#This Row],[Max Factor Medido]]</f>
        <v>502.59999999999997</v>
      </c>
      <c r="Y223" s="39">
        <v>0.94</v>
      </c>
      <c r="Z223" s="3">
        <f t="shared" si="34"/>
        <v>2025</v>
      </c>
      <c r="AA223" s="21">
        <f>+MEDIAN(Tabla4[[#This Row],[kwreal 6]:[kwreal 9]])</f>
        <v>488.07499999999999</v>
      </c>
      <c r="AB223" s="21">
        <f>+Tabla4[[#This Row],[LineaBase-FD]]/350</f>
        <v>1.3945000000000001</v>
      </c>
    </row>
    <row r="224" spans="1:28" x14ac:dyDescent="0.3">
      <c r="A224" s="28">
        <v>215</v>
      </c>
      <c r="B224" s="3">
        <v>59</v>
      </c>
      <c r="C224" s="3">
        <v>23</v>
      </c>
      <c r="D224" s="3">
        <v>118</v>
      </c>
      <c r="E224" s="3">
        <v>13</v>
      </c>
      <c r="F224" s="77">
        <v>1.4359999999999999</v>
      </c>
      <c r="G224" s="77">
        <v>1.361</v>
      </c>
      <c r="H224" s="77">
        <v>1.4279999999999999</v>
      </c>
      <c r="I224" s="77">
        <v>1.3180000000000001</v>
      </c>
      <c r="J224" s="3">
        <v>70</v>
      </c>
      <c r="K224" s="15">
        <v>0.28263888888888888</v>
      </c>
      <c r="L224" s="5">
        <f t="shared" si="35"/>
        <v>45880</v>
      </c>
      <c r="M224" s="3">
        <v>0.95</v>
      </c>
      <c r="N224" s="22">
        <v>1.179</v>
      </c>
      <c r="O224" s="22">
        <f>+MAX(Tabla4[[#This Row],[6KWA]:[9KWA]])</f>
        <v>1.4359999999999999</v>
      </c>
      <c r="P224" s="3">
        <f t="shared" si="27"/>
        <v>11</v>
      </c>
      <c r="Q224" s="3">
        <f t="shared" si="28"/>
        <v>8</v>
      </c>
      <c r="R224" s="3">
        <f t="shared" si="29"/>
        <v>33</v>
      </c>
      <c r="S224" s="3" t="str">
        <f t="shared" si="30"/>
        <v>agosto</v>
      </c>
      <c r="T224" s="21">
        <f t="shared" si="31"/>
        <v>502.59999999999997</v>
      </c>
      <c r="U224" s="21">
        <f t="shared" si="32"/>
        <v>476.35</v>
      </c>
      <c r="V224" s="21">
        <f t="shared" si="33"/>
        <v>499.79999999999995</v>
      </c>
      <c r="W224" s="21">
        <f>+Tabla4[[#This Row],[9KWA]]*350</f>
        <v>461.3</v>
      </c>
      <c r="X224" s="21">
        <f>350*Tabla4[[#This Row],[Max Factor Medido]]</f>
        <v>502.59999999999997</v>
      </c>
      <c r="Y224" s="39">
        <v>0.94</v>
      </c>
      <c r="Z224" s="3">
        <f t="shared" si="34"/>
        <v>2025</v>
      </c>
      <c r="AA224" s="21">
        <f>+MEDIAN(Tabla4[[#This Row],[kwreal 6]:[kwreal 9]])</f>
        <v>488.07499999999999</v>
      </c>
      <c r="AB224" s="21">
        <f>+Tabla4[[#This Row],[LineaBase-FD]]/350</f>
        <v>1.3945000000000001</v>
      </c>
    </row>
    <row r="225" spans="1:28" x14ac:dyDescent="0.3">
      <c r="A225" s="29">
        <v>243</v>
      </c>
      <c r="B225" s="2">
        <v>71</v>
      </c>
      <c r="C225" s="2">
        <v>28</v>
      </c>
      <c r="D225" s="2">
        <v>129</v>
      </c>
      <c r="E225" s="2">
        <v>13</v>
      </c>
      <c r="F225" s="77">
        <v>1.4359999999999999</v>
      </c>
      <c r="G225" s="77">
        <v>1.361</v>
      </c>
      <c r="H225" s="77">
        <v>1.4279999999999999</v>
      </c>
      <c r="I225" s="77">
        <v>1.3180000000000001</v>
      </c>
      <c r="J225" s="2">
        <v>79</v>
      </c>
      <c r="K225" s="7">
        <v>0.29583333333333334</v>
      </c>
      <c r="L225" s="6">
        <f t="shared" si="35"/>
        <v>45881</v>
      </c>
      <c r="M225" s="2">
        <v>0.95</v>
      </c>
      <c r="N225" s="22">
        <v>1.0740000000000001</v>
      </c>
      <c r="O225" s="22">
        <f>+MAX(Tabla4[[#This Row],[6KWA]:[9KWA]])</f>
        <v>1.4359999999999999</v>
      </c>
      <c r="P225" s="3">
        <f t="shared" si="27"/>
        <v>12</v>
      </c>
      <c r="Q225" s="3">
        <f t="shared" si="28"/>
        <v>8</v>
      </c>
      <c r="R225" s="3">
        <f t="shared" si="29"/>
        <v>33</v>
      </c>
      <c r="S225" s="3" t="str">
        <f t="shared" si="30"/>
        <v>agosto</v>
      </c>
      <c r="T225" s="21">
        <f t="shared" si="31"/>
        <v>502.59999999999997</v>
      </c>
      <c r="U225" s="21">
        <f t="shared" si="32"/>
        <v>476.35</v>
      </c>
      <c r="V225" s="21">
        <f t="shared" si="33"/>
        <v>499.79999999999995</v>
      </c>
      <c r="W225" s="21">
        <f>+Tabla4[[#This Row],[9KWA]]*350</f>
        <v>461.3</v>
      </c>
      <c r="X225" s="21">
        <f>350*Tabla4[[#This Row],[Max Factor Medido]]</f>
        <v>502.59999999999997</v>
      </c>
      <c r="Y225" s="39">
        <v>0.94</v>
      </c>
      <c r="Z225" s="3">
        <f t="shared" si="34"/>
        <v>2025</v>
      </c>
      <c r="AA225" s="21">
        <f>+MEDIAN(Tabla4[[#This Row],[kwreal 6]:[kwreal 9]])</f>
        <v>488.07499999999999</v>
      </c>
      <c r="AB225" s="21">
        <f>+Tabla4[[#This Row],[LineaBase-FD]]/350</f>
        <v>1.3945000000000001</v>
      </c>
    </row>
    <row r="226" spans="1:28" x14ac:dyDescent="0.3">
      <c r="A226" s="29">
        <v>270</v>
      </c>
      <c r="B226" s="2">
        <v>83</v>
      </c>
      <c r="C226" s="2">
        <v>32</v>
      </c>
      <c r="D226" s="2">
        <v>140</v>
      </c>
      <c r="E226" s="2">
        <v>13</v>
      </c>
      <c r="F226" s="77">
        <v>1.4359999999999999</v>
      </c>
      <c r="G226" s="77">
        <v>1.361</v>
      </c>
      <c r="H226" s="77">
        <v>1.4279999999999999</v>
      </c>
      <c r="I226" s="77">
        <v>1.3180000000000001</v>
      </c>
      <c r="J226" s="2">
        <v>81</v>
      </c>
      <c r="K226" s="8">
        <v>0.27500000000000002</v>
      </c>
      <c r="L226" s="6">
        <f t="shared" si="35"/>
        <v>45882</v>
      </c>
      <c r="M226" s="2">
        <v>0.96</v>
      </c>
      <c r="N226" s="22">
        <v>1.0620000000000001</v>
      </c>
      <c r="O226" s="22">
        <f>+MAX(Tabla4[[#This Row],[6KWA]:[9KWA]])</f>
        <v>1.4359999999999999</v>
      </c>
      <c r="P226" s="3">
        <f t="shared" si="27"/>
        <v>13</v>
      </c>
      <c r="Q226" s="3">
        <f t="shared" si="28"/>
        <v>8</v>
      </c>
      <c r="R226" s="3">
        <f t="shared" si="29"/>
        <v>33</v>
      </c>
      <c r="S226" s="3" t="str">
        <f t="shared" si="30"/>
        <v>agosto</v>
      </c>
      <c r="T226" s="21">
        <f t="shared" si="31"/>
        <v>502.59999999999997</v>
      </c>
      <c r="U226" s="21">
        <f t="shared" si="32"/>
        <v>476.35</v>
      </c>
      <c r="V226" s="21">
        <f t="shared" si="33"/>
        <v>499.79999999999995</v>
      </c>
      <c r="W226" s="21">
        <f>+Tabla4[[#This Row],[9KWA]]*350</f>
        <v>461.3</v>
      </c>
      <c r="X226" s="21">
        <f>350*Tabla4[[#This Row],[Max Factor Medido]]</f>
        <v>502.59999999999997</v>
      </c>
      <c r="Y226" s="39">
        <v>0.94</v>
      </c>
      <c r="Z226" s="3">
        <f t="shared" si="34"/>
        <v>2025</v>
      </c>
      <c r="AA226" s="21">
        <f>+MEDIAN(Tabla4[[#This Row],[kwreal 6]:[kwreal 9]])</f>
        <v>488.07499999999999</v>
      </c>
      <c r="AB226" s="21">
        <f>+Tabla4[[#This Row],[LineaBase-FD]]/350</f>
        <v>1.3945000000000001</v>
      </c>
    </row>
    <row r="227" spans="1:28" x14ac:dyDescent="0.3">
      <c r="A227" s="28">
        <v>297</v>
      </c>
      <c r="B227" s="3">
        <v>95</v>
      </c>
      <c r="C227" s="3">
        <v>37</v>
      </c>
      <c r="D227" s="3">
        <v>151</v>
      </c>
      <c r="E227" s="3">
        <v>13</v>
      </c>
      <c r="F227" s="77">
        <v>1.4359999999999999</v>
      </c>
      <c r="G227" s="77">
        <v>1.361</v>
      </c>
      <c r="H227" s="77">
        <v>1.4279999999999999</v>
      </c>
      <c r="I227" s="77">
        <v>1.3180000000000001</v>
      </c>
      <c r="J227" s="3">
        <v>95</v>
      </c>
      <c r="K227" s="16">
        <v>0.27986111111111112</v>
      </c>
      <c r="L227" s="5">
        <f t="shared" si="35"/>
        <v>45883</v>
      </c>
      <c r="M227" s="3">
        <v>0.94</v>
      </c>
      <c r="N227" s="22">
        <v>1.1679999999999999</v>
      </c>
      <c r="O227" s="22">
        <f>+MAX(Tabla4[[#This Row],[6KWA]:[9KWA]])</f>
        <v>1.4359999999999999</v>
      </c>
      <c r="P227" s="3">
        <f t="shared" si="27"/>
        <v>14</v>
      </c>
      <c r="Q227" s="3">
        <f t="shared" si="28"/>
        <v>8</v>
      </c>
      <c r="R227" s="3">
        <f t="shared" si="29"/>
        <v>33</v>
      </c>
      <c r="S227" s="3" t="str">
        <f t="shared" si="30"/>
        <v>agosto</v>
      </c>
      <c r="T227" s="21">
        <f t="shared" si="31"/>
        <v>502.59999999999997</v>
      </c>
      <c r="U227" s="21">
        <f t="shared" si="32"/>
        <v>476.35</v>
      </c>
      <c r="V227" s="21">
        <f t="shared" si="33"/>
        <v>499.79999999999995</v>
      </c>
      <c r="W227" s="21">
        <f>+Tabla4[[#This Row],[9KWA]]*350</f>
        <v>461.3</v>
      </c>
      <c r="X227" s="21">
        <f>350*Tabla4[[#This Row],[Max Factor Medido]]</f>
        <v>502.59999999999997</v>
      </c>
      <c r="Y227" s="39">
        <v>0.94</v>
      </c>
      <c r="Z227" s="3">
        <f t="shared" si="34"/>
        <v>2025</v>
      </c>
      <c r="AA227" s="21">
        <f>+MEDIAN(Tabla4[[#This Row],[kwreal 6]:[kwreal 9]])</f>
        <v>488.07499999999999</v>
      </c>
      <c r="AB227" s="21">
        <f>+Tabla4[[#This Row],[LineaBase-FD]]/350</f>
        <v>1.3945000000000001</v>
      </c>
    </row>
    <row r="228" spans="1:28" x14ac:dyDescent="0.3">
      <c r="A228" s="28">
        <v>325</v>
      </c>
      <c r="B228" s="3">
        <v>107</v>
      </c>
      <c r="C228" s="3">
        <v>42</v>
      </c>
      <c r="D228" s="3">
        <v>162</v>
      </c>
      <c r="E228" s="3">
        <v>13</v>
      </c>
      <c r="F228" s="77">
        <v>1.4359999999999999</v>
      </c>
      <c r="G228" s="77">
        <v>1.361</v>
      </c>
      <c r="H228" s="77">
        <v>1.4279999999999999</v>
      </c>
      <c r="I228" s="77">
        <v>1.3180000000000001</v>
      </c>
      <c r="J228" s="3">
        <v>103</v>
      </c>
      <c r="K228" s="16">
        <v>0.28541666666666665</v>
      </c>
      <c r="L228" s="5">
        <f t="shared" si="35"/>
        <v>45884</v>
      </c>
      <c r="M228" s="3">
        <v>0.95</v>
      </c>
      <c r="N228" s="22">
        <v>1.085</v>
      </c>
      <c r="O228" s="22">
        <f>+MAX(Tabla4[[#This Row],[6KWA]:[9KWA]])</f>
        <v>1.4359999999999999</v>
      </c>
      <c r="P228" s="3">
        <f t="shared" si="27"/>
        <v>15</v>
      </c>
      <c r="Q228" s="3">
        <f t="shared" si="28"/>
        <v>8</v>
      </c>
      <c r="R228" s="3">
        <f t="shared" si="29"/>
        <v>33</v>
      </c>
      <c r="S228" s="3" t="str">
        <f t="shared" si="30"/>
        <v>agosto</v>
      </c>
      <c r="T228" s="21">
        <f t="shared" si="31"/>
        <v>502.59999999999997</v>
      </c>
      <c r="U228" s="21">
        <f t="shared" si="32"/>
        <v>476.35</v>
      </c>
      <c r="V228" s="21">
        <f t="shared" si="33"/>
        <v>499.79999999999995</v>
      </c>
      <c r="W228" s="21">
        <f>+Tabla4[[#This Row],[9KWA]]*350</f>
        <v>461.3</v>
      </c>
      <c r="X228" s="21">
        <f>350*Tabla4[[#This Row],[Max Factor Medido]]</f>
        <v>502.59999999999997</v>
      </c>
      <c r="Y228" s="39">
        <v>0.94</v>
      </c>
      <c r="Z228" s="3">
        <f t="shared" si="34"/>
        <v>2025</v>
      </c>
      <c r="AA228" s="21">
        <f>+MEDIAN(Tabla4[[#This Row],[kwreal 6]:[kwreal 9]])</f>
        <v>488.07499999999999</v>
      </c>
      <c r="AB228" s="21">
        <f>+Tabla4[[#This Row],[LineaBase-FD]]/350</f>
        <v>1.3945000000000001</v>
      </c>
    </row>
    <row r="229" spans="1:28" x14ac:dyDescent="0.3">
      <c r="A229" s="28">
        <v>354</v>
      </c>
      <c r="B229" s="3">
        <v>119</v>
      </c>
      <c r="C229" s="3">
        <v>47</v>
      </c>
      <c r="D229" s="3">
        <v>173</v>
      </c>
      <c r="E229" s="3">
        <v>13</v>
      </c>
      <c r="F229" s="77">
        <v>1.4359999999999999</v>
      </c>
      <c r="G229" s="77">
        <v>1.361</v>
      </c>
      <c r="H229" s="77">
        <v>1.4279999999999999</v>
      </c>
      <c r="I229" s="77">
        <v>1.3180000000000001</v>
      </c>
      <c r="J229" s="3">
        <v>112</v>
      </c>
      <c r="K229" s="16">
        <v>0.31944444444444442</v>
      </c>
      <c r="L229" s="5">
        <f t="shared" si="35"/>
        <v>45885</v>
      </c>
      <c r="M229" s="3">
        <v>0.95</v>
      </c>
      <c r="N229" s="22">
        <v>1.143</v>
      </c>
      <c r="O229" s="22">
        <f>+MAX(Tabla4[[#This Row],[6KWA]:[9KWA]])</f>
        <v>1.4359999999999999</v>
      </c>
      <c r="P229" s="3">
        <f t="shared" si="27"/>
        <v>16</v>
      </c>
      <c r="Q229" s="3">
        <f t="shared" si="28"/>
        <v>8</v>
      </c>
      <c r="R229" s="3">
        <f t="shared" si="29"/>
        <v>33</v>
      </c>
      <c r="S229" s="3" t="str">
        <f t="shared" si="30"/>
        <v>agosto</v>
      </c>
      <c r="T229" s="21">
        <f t="shared" si="31"/>
        <v>502.59999999999997</v>
      </c>
      <c r="U229" s="21">
        <f t="shared" si="32"/>
        <v>476.35</v>
      </c>
      <c r="V229" s="21">
        <f t="shared" si="33"/>
        <v>499.79999999999995</v>
      </c>
      <c r="W229" s="21">
        <f>+Tabla4[[#This Row],[9KWA]]*350</f>
        <v>461.3</v>
      </c>
      <c r="X229" s="21">
        <f>350*Tabla4[[#This Row],[Max Factor Medido]]</f>
        <v>502.59999999999997</v>
      </c>
      <c r="Y229" s="39">
        <v>0.94</v>
      </c>
      <c r="Z229" s="3">
        <f t="shared" si="34"/>
        <v>2025</v>
      </c>
      <c r="AA229" s="21">
        <f>+MEDIAN(Tabla4[[#This Row],[kwreal 6]:[kwreal 9]])</f>
        <v>488.07499999999999</v>
      </c>
      <c r="AB229" s="21">
        <f>+Tabla4[[#This Row],[LineaBase-FD]]/350</f>
        <v>1.3945000000000001</v>
      </c>
    </row>
    <row r="230" spans="1:28" x14ac:dyDescent="0.3">
      <c r="A230" s="28">
        <v>382</v>
      </c>
      <c r="B230" s="3">
        <v>119</v>
      </c>
      <c r="C230" s="3">
        <v>47</v>
      </c>
      <c r="D230" s="3">
        <v>196</v>
      </c>
      <c r="E230" s="3">
        <v>18</v>
      </c>
      <c r="F230" s="77">
        <v>1.4359999999999999</v>
      </c>
      <c r="G230" s="77">
        <v>1.361</v>
      </c>
      <c r="H230" s="77">
        <v>1.4279999999999999</v>
      </c>
      <c r="I230" s="77">
        <v>1.3180000000000001</v>
      </c>
      <c r="J230" s="3">
        <v>121</v>
      </c>
      <c r="K230" s="16">
        <v>0.29166666666666669</v>
      </c>
      <c r="L230" s="5">
        <f t="shared" si="35"/>
        <v>45886</v>
      </c>
      <c r="M230" s="3">
        <v>0.93</v>
      </c>
      <c r="N230" s="22">
        <v>1.0049999999999999</v>
      </c>
      <c r="O230" s="22">
        <f>+MAX(Tabla4[[#This Row],[6KWA]:[9KWA]])</f>
        <v>1.4359999999999999</v>
      </c>
      <c r="P230" s="3">
        <f t="shared" si="27"/>
        <v>17</v>
      </c>
      <c r="Q230" s="3">
        <f t="shared" si="28"/>
        <v>8</v>
      </c>
      <c r="R230" s="3">
        <f t="shared" si="29"/>
        <v>34</v>
      </c>
      <c r="S230" s="3" t="str">
        <f t="shared" si="30"/>
        <v>agosto</v>
      </c>
      <c r="T230" s="21">
        <f t="shared" si="31"/>
        <v>502.59999999999997</v>
      </c>
      <c r="U230" s="21">
        <f t="shared" si="32"/>
        <v>476.35</v>
      </c>
      <c r="V230" s="21">
        <f t="shared" si="33"/>
        <v>499.79999999999995</v>
      </c>
      <c r="W230" s="21">
        <f>+Tabla4[[#This Row],[9KWA]]*350</f>
        <v>461.3</v>
      </c>
      <c r="X230" s="21">
        <f>350*Tabla4[[#This Row],[Max Factor Medido]]</f>
        <v>502.59999999999997</v>
      </c>
      <c r="Y230" s="39">
        <v>0.94</v>
      </c>
      <c r="Z230" s="3">
        <f t="shared" si="34"/>
        <v>2025</v>
      </c>
      <c r="AA230" s="21">
        <f>+MEDIAN(Tabla4[[#This Row],[kwreal 6]:[kwreal 9]])</f>
        <v>488.07499999999999</v>
      </c>
      <c r="AB230" s="21">
        <f>+Tabla4[[#This Row],[LineaBase-FD]]/350</f>
        <v>1.3945000000000001</v>
      </c>
    </row>
    <row r="231" spans="1:28" x14ac:dyDescent="0.3">
      <c r="A231" s="29">
        <v>109</v>
      </c>
      <c r="B231" s="2">
        <v>119</v>
      </c>
      <c r="C231" s="2">
        <v>47</v>
      </c>
      <c r="D231" s="2">
        <v>219</v>
      </c>
      <c r="E231" s="2">
        <v>23</v>
      </c>
      <c r="F231" s="77">
        <v>1.4359999999999999</v>
      </c>
      <c r="G231" s="77">
        <v>1.361</v>
      </c>
      <c r="H231" s="77">
        <v>1.4279999999999999</v>
      </c>
      <c r="I231" s="77">
        <v>1.3180000000000001</v>
      </c>
      <c r="J231" s="2">
        <v>131</v>
      </c>
      <c r="K231" s="8">
        <v>0.2951388888888889</v>
      </c>
      <c r="L231" s="6">
        <f t="shared" si="35"/>
        <v>45887</v>
      </c>
      <c r="M231" s="2">
        <v>0.93</v>
      </c>
      <c r="N231" s="22">
        <v>1.101</v>
      </c>
      <c r="O231" s="22">
        <f>+MAX(Tabla4[[#This Row],[6KWA]:[9KWA]])</f>
        <v>1.4359999999999999</v>
      </c>
      <c r="P231" s="3">
        <f t="shared" si="27"/>
        <v>18</v>
      </c>
      <c r="Q231" s="3">
        <f t="shared" si="28"/>
        <v>8</v>
      </c>
      <c r="R231" s="3">
        <f t="shared" si="29"/>
        <v>34</v>
      </c>
      <c r="S231" s="3" t="str">
        <f t="shared" si="30"/>
        <v>agosto</v>
      </c>
      <c r="T231" s="21">
        <f t="shared" si="31"/>
        <v>502.59999999999997</v>
      </c>
      <c r="U231" s="21">
        <f t="shared" si="32"/>
        <v>476.35</v>
      </c>
      <c r="V231" s="21">
        <f t="shared" si="33"/>
        <v>499.79999999999995</v>
      </c>
      <c r="W231" s="21">
        <f>+Tabla4[[#This Row],[9KWA]]*350</f>
        <v>461.3</v>
      </c>
      <c r="X231" s="21">
        <f>350*Tabla4[[#This Row],[Max Factor Medido]]</f>
        <v>502.59999999999997</v>
      </c>
      <c r="Y231" s="39">
        <v>0.94</v>
      </c>
      <c r="Z231" s="3">
        <f t="shared" si="34"/>
        <v>2025</v>
      </c>
      <c r="AA231" s="21">
        <f>+MEDIAN(Tabla4[[#This Row],[kwreal 6]:[kwreal 9]])</f>
        <v>488.07499999999999</v>
      </c>
      <c r="AB231" s="21">
        <f>+Tabla4[[#This Row],[LineaBase-FD]]/350</f>
        <v>1.3945000000000001</v>
      </c>
    </row>
    <row r="232" spans="1:28" x14ac:dyDescent="0.3">
      <c r="A232" s="29">
        <v>436</v>
      </c>
      <c r="B232" s="2">
        <v>131</v>
      </c>
      <c r="C232" s="2">
        <v>51</v>
      </c>
      <c r="D232" s="2">
        <v>230</v>
      </c>
      <c r="E232" s="2">
        <v>23</v>
      </c>
      <c r="F232" s="77">
        <v>1.4359999999999999</v>
      </c>
      <c r="G232" s="77">
        <v>1.361</v>
      </c>
      <c r="H232" s="77">
        <v>1.4279999999999999</v>
      </c>
      <c r="I232" s="77">
        <v>1.3180000000000001</v>
      </c>
      <c r="J232" s="2">
        <v>139</v>
      </c>
      <c r="K232" s="8">
        <v>0.29305555555555557</v>
      </c>
      <c r="L232" s="6">
        <f t="shared" si="35"/>
        <v>45888</v>
      </c>
      <c r="M232" s="2">
        <v>0.96</v>
      </c>
      <c r="N232" s="22">
        <v>1.0109999999999999</v>
      </c>
      <c r="O232" s="22">
        <f>+MAX(Tabla4[[#This Row],[6KWA]:[9KWA]])</f>
        <v>1.4359999999999999</v>
      </c>
      <c r="P232" s="3">
        <f t="shared" si="27"/>
        <v>19</v>
      </c>
      <c r="Q232" s="3">
        <f t="shared" si="28"/>
        <v>8</v>
      </c>
      <c r="R232" s="3">
        <f t="shared" si="29"/>
        <v>34</v>
      </c>
      <c r="S232" s="3" t="str">
        <f t="shared" si="30"/>
        <v>agosto</v>
      </c>
      <c r="T232" s="21">
        <f t="shared" si="31"/>
        <v>502.59999999999997</v>
      </c>
      <c r="U232" s="21">
        <f t="shared" si="32"/>
        <v>476.35</v>
      </c>
      <c r="V232" s="21">
        <f t="shared" si="33"/>
        <v>499.79999999999995</v>
      </c>
      <c r="W232" s="21">
        <f>+Tabla4[[#This Row],[9KWA]]*350</f>
        <v>461.3</v>
      </c>
      <c r="X232" s="21">
        <f>350*Tabla4[[#This Row],[Max Factor Medido]]</f>
        <v>502.59999999999997</v>
      </c>
      <c r="Y232" s="39">
        <v>0.94</v>
      </c>
      <c r="Z232" s="3">
        <f t="shared" si="34"/>
        <v>2025</v>
      </c>
      <c r="AA232" s="21">
        <f>+MEDIAN(Tabla4[[#This Row],[kwreal 6]:[kwreal 9]])</f>
        <v>488.07499999999999</v>
      </c>
      <c r="AB232" s="21">
        <f>+Tabla4[[#This Row],[LineaBase-FD]]/350</f>
        <v>1.3945000000000001</v>
      </c>
    </row>
    <row r="233" spans="1:28" x14ac:dyDescent="0.3">
      <c r="A233" s="28">
        <v>463</v>
      </c>
      <c r="B233" s="3">
        <v>143</v>
      </c>
      <c r="C233" s="3">
        <v>56</v>
      </c>
      <c r="D233" s="3">
        <v>240</v>
      </c>
      <c r="E233" s="3">
        <v>23</v>
      </c>
      <c r="F233" s="77">
        <v>1.4359999999999999</v>
      </c>
      <c r="G233" s="77">
        <v>1.361</v>
      </c>
      <c r="H233" s="77">
        <v>1.4279999999999999</v>
      </c>
      <c r="I233" s="77">
        <v>1.3180000000000001</v>
      </c>
      <c r="J233" s="3">
        <v>148</v>
      </c>
      <c r="K233" s="16">
        <v>0.27777777777777779</v>
      </c>
      <c r="L233" s="5">
        <f t="shared" si="35"/>
        <v>45889</v>
      </c>
      <c r="M233" s="3">
        <v>0.93</v>
      </c>
      <c r="N233" s="22">
        <v>1.03</v>
      </c>
      <c r="O233" s="22">
        <f>+MAX(Tabla4[[#This Row],[6KWA]:[9KWA]])</f>
        <v>1.4359999999999999</v>
      </c>
      <c r="P233" s="3">
        <f t="shared" si="27"/>
        <v>20</v>
      </c>
      <c r="Q233" s="3">
        <f t="shared" si="28"/>
        <v>8</v>
      </c>
      <c r="R233" s="3">
        <f t="shared" si="29"/>
        <v>34</v>
      </c>
      <c r="S233" s="3" t="str">
        <f t="shared" si="30"/>
        <v>agosto</v>
      </c>
      <c r="T233" s="21">
        <f t="shared" si="31"/>
        <v>502.59999999999997</v>
      </c>
      <c r="U233" s="21">
        <f t="shared" si="32"/>
        <v>476.35</v>
      </c>
      <c r="V233" s="21">
        <f t="shared" si="33"/>
        <v>499.79999999999995</v>
      </c>
      <c r="W233" s="21">
        <f>+Tabla4[[#This Row],[9KWA]]*350</f>
        <v>461.3</v>
      </c>
      <c r="X233" s="21">
        <f>350*Tabla4[[#This Row],[Max Factor Medido]]</f>
        <v>502.59999999999997</v>
      </c>
      <c r="Y233" s="39">
        <v>0.94</v>
      </c>
      <c r="Z233" s="3">
        <f t="shared" si="34"/>
        <v>2025</v>
      </c>
      <c r="AA233" s="21">
        <f>+MEDIAN(Tabla4[[#This Row],[kwreal 6]:[kwreal 9]])</f>
        <v>488.07499999999999</v>
      </c>
      <c r="AB233" s="21">
        <f>+Tabla4[[#This Row],[LineaBase-FD]]/350</f>
        <v>1.3945000000000001</v>
      </c>
    </row>
    <row r="234" spans="1:28" x14ac:dyDescent="0.3">
      <c r="A234" s="28">
        <v>491</v>
      </c>
      <c r="B234" s="3">
        <v>155</v>
      </c>
      <c r="C234" s="3">
        <v>61</v>
      </c>
      <c r="D234" s="3">
        <v>251</v>
      </c>
      <c r="E234" s="3">
        <v>23</v>
      </c>
      <c r="F234" s="77">
        <v>1.4359999999999999</v>
      </c>
      <c r="G234" s="77">
        <v>1.361</v>
      </c>
      <c r="H234" s="77">
        <v>1.4279999999999999</v>
      </c>
      <c r="I234" s="77">
        <v>1.3180000000000001</v>
      </c>
      <c r="J234" s="3">
        <v>156</v>
      </c>
      <c r="K234" s="16">
        <v>0.26874999999999999</v>
      </c>
      <c r="L234" s="5">
        <f t="shared" si="35"/>
        <v>45890</v>
      </c>
      <c r="M234" s="3">
        <v>0.95</v>
      </c>
      <c r="N234" s="22">
        <v>1.0469999999999999</v>
      </c>
      <c r="O234" s="22">
        <f>+MAX(Tabla4[[#This Row],[6KWA]:[9KWA]])</f>
        <v>1.4359999999999999</v>
      </c>
      <c r="P234" s="3">
        <f t="shared" si="27"/>
        <v>21</v>
      </c>
      <c r="Q234" s="3">
        <f t="shared" si="28"/>
        <v>8</v>
      </c>
      <c r="R234" s="3">
        <f t="shared" si="29"/>
        <v>34</v>
      </c>
      <c r="S234" s="3" t="str">
        <f t="shared" si="30"/>
        <v>agosto</v>
      </c>
      <c r="T234" s="21">
        <f t="shared" si="31"/>
        <v>502.59999999999997</v>
      </c>
      <c r="U234" s="21">
        <f t="shared" si="32"/>
        <v>476.35</v>
      </c>
      <c r="V234" s="21">
        <f t="shared" si="33"/>
        <v>499.79999999999995</v>
      </c>
      <c r="W234" s="21">
        <f>+Tabla4[[#This Row],[9KWA]]*350</f>
        <v>461.3</v>
      </c>
      <c r="X234" s="21">
        <f>350*Tabla4[[#This Row],[Max Factor Medido]]</f>
        <v>502.59999999999997</v>
      </c>
      <c r="Y234" s="39">
        <v>0.94</v>
      </c>
      <c r="Z234" s="3">
        <f t="shared" si="34"/>
        <v>2025</v>
      </c>
      <c r="AA234" s="21">
        <f>+MEDIAN(Tabla4[[#This Row],[kwreal 6]:[kwreal 9]])</f>
        <v>488.07499999999999</v>
      </c>
      <c r="AB234" s="21">
        <f>+Tabla4[[#This Row],[LineaBase-FD]]/350</f>
        <v>1.3945000000000001</v>
      </c>
    </row>
    <row r="235" spans="1:28" x14ac:dyDescent="0.3">
      <c r="A235" s="28">
        <v>519</v>
      </c>
      <c r="B235" s="3">
        <v>167</v>
      </c>
      <c r="C235" s="3">
        <v>65</v>
      </c>
      <c r="D235" s="3">
        <v>262</v>
      </c>
      <c r="E235" s="3">
        <v>23</v>
      </c>
      <c r="F235" s="77">
        <v>1.4359999999999999</v>
      </c>
      <c r="G235" s="77">
        <v>1.361</v>
      </c>
      <c r="H235" s="77">
        <v>1.4279999999999999</v>
      </c>
      <c r="I235" s="77">
        <v>1.3180000000000001</v>
      </c>
      <c r="J235" s="3">
        <v>164</v>
      </c>
      <c r="K235" s="16">
        <v>0.28472222222222221</v>
      </c>
      <c r="L235" s="5">
        <f t="shared" si="35"/>
        <v>45891</v>
      </c>
      <c r="M235" s="3">
        <v>0.94</v>
      </c>
      <c r="N235" s="22">
        <v>1.163</v>
      </c>
      <c r="O235" s="22">
        <f>+MAX(Tabla4[[#This Row],[6KWA]:[9KWA]])</f>
        <v>1.4359999999999999</v>
      </c>
      <c r="P235" s="3">
        <f t="shared" si="27"/>
        <v>22</v>
      </c>
      <c r="Q235" s="3">
        <f t="shared" si="28"/>
        <v>8</v>
      </c>
      <c r="R235" s="3">
        <f t="shared" si="29"/>
        <v>34</v>
      </c>
      <c r="S235" s="3" t="str">
        <f t="shared" si="30"/>
        <v>agosto</v>
      </c>
      <c r="T235" s="21">
        <f t="shared" si="31"/>
        <v>502.59999999999997</v>
      </c>
      <c r="U235" s="21">
        <f t="shared" si="32"/>
        <v>476.35</v>
      </c>
      <c r="V235" s="21">
        <f t="shared" si="33"/>
        <v>499.79999999999995</v>
      </c>
      <c r="W235" s="21">
        <f>+Tabla4[[#This Row],[9KWA]]*350</f>
        <v>461.3</v>
      </c>
      <c r="X235" s="21">
        <f>350*Tabla4[[#This Row],[Max Factor Medido]]</f>
        <v>502.59999999999997</v>
      </c>
      <c r="Y235" s="39">
        <v>0.94</v>
      </c>
      <c r="Z235" s="3">
        <f t="shared" si="34"/>
        <v>2025</v>
      </c>
      <c r="AA235" s="21">
        <f>+MEDIAN(Tabla4[[#This Row],[kwreal 6]:[kwreal 9]])</f>
        <v>488.07499999999999</v>
      </c>
      <c r="AB235" s="21">
        <f>+Tabla4[[#This Row],[LineaBase-FD]]/350</f>
        <v>1.3945000000000001</v>
      </c>
    </row>
    <row r="236" spans="1:28" x14ac:dyDescent="0.3">
      <c r="A236" s="28">
        <v>547</v>
      </c>
      <c r="B236" s="3">
        <v>180</v>
      </c>
      <c r="C236" s="3">
        <v>70</v>
      </c>
      <c r="D236" s="3">
        <v>273</v>
      </c>
      <c r="E236" s="3">
        <v>23</v>
      </c>
      <c r="F236" s="77">
        <v>1.4359999999999999</v>
      </c>
      <c r="G236" s="77">
        <v>1.361</v>
      </c>
      <c r="H236" s="77">
        <v>1.4279999999999999</v>
      </c>
      <c r="I236" s="77">
        <v>1.3180000000000001</v>
      </c>
      <c r="J236" s="3">
        <v>111</v>
      </c>
      <c r="K236" s="16">
        <v>0.28819444444444442</v>
      </c>
      <c r="L236" s="5">
        <f t="shared" si="35"/>
        <v>45892</v>
      </c>
      <c r="M236" s="3">
        <v>0.99</v>
      </c>
      <c r="N236" s="22">
        <v>1.056</v>
      </c>
      <c r="O236" s="22">
        <f>+MAX(Tabla4[[#This Row],[6KWA]:[9KWA]])</f>
        <v>1.4359999999999999</v>
      </c>
      <c r="P236" s="3">
        <f t="shared" si="27"/>
        <v>23</v>
      </c>
      <c r="Q236" s="3">
        <f t="shared" si="28"/>
        <v>8</v>
      </c>
      <c r="R236" s="3">
        <f t="shared" si="29"/>
        <v>34</v>
      </c>
      <c r="S236" s="3" t="str">
        <f t="shared" si="30"/>
        <v>agosto</v>
      </c>
      <c r="T236" s="21">
        <f t="shared" si="31"/>
        <v>502.59999999999997</v>
      </c>
      <c r="U236" s="21">
        <f t="shared" si="32"/>
        <v>476.35</v>
      </c>
      <c r="V236" s="21">
        <f t="shared" si="33"/>
        <v>499.79999999999995</v>
      </c>
      <c r="W236" s="21">
        <f>+Tabla4[[#This Row],[9KWA]]*350</f>
        <v>461.3</v>
      </c>
      <c r="X236" s="21">
        <f>350*Tabla4[[#This Row],[Max Factor Medido]]</f>
        <v>502.59999999999997</v>
      </c>
      <c r="Y236" s="39">
        <v>0.94</v>
      </c>
      <c r="Z236" s="3">
        <f t="shared" si="34"/>
        <v>2025</v>
      </c>
      <c r="AA236" s="21">
        <f>+MEDIAN(Tabla4[[#This Row],[kwreal 6]:[kwreal 9]])</f>
        <v>488.07499999999999</v>
      </c>
      <c r="AB236" s="21">
        <f>+Tabla4[[#This Row],[LineaBase-FD]]/350</f>
        <v>1.3945000000000001</v>
      </c>
    </row>
    <row r="237" spans="1:28" x14ac:dyDescent="0.3">
      <c r="A237" s="28">
        <v>576</v>
      </c>
      <c r="B237" s="3">
        <v>180</v>
      </c>
      <c r="C237" s="3">
        <v>70</v>
      </c>
      <c r="D237" s="3">
        <v>297</v>
      </c>
      <c r="E237" s="3">
        <v>28</v>
      </c>
      <c r="F237" s="77">
        <v>1.4359999999999999</v>
      </c>
      <c r="G237" s="77">
        <v>1.361</v>
      </c>
      <c r="H237" s="77">
        <v>1.4350000000000001</v>
      </c>
      <c r="I237" s="77">
        <v>1.34</v>
      </c>
      <c r="J237" s="3">
        <v>175</v>
      </c>
      <c r="K237" s="16">
        <v>0.2986111111111111</v>
      </c>
      <c r="L237" s="5">
        <f t="shared" si="35"/>
        <v>45893</v>
      </c>
      <c r="M237" s="3">
        <v>0.99</v>
      </c>
      <c r="N237" s="22">
        <v>9.73</v>
      </c>
      <c r="O237" s="22">
        <f>+MAX(Tabla4[[#This Row],[6KWA]:[9KWA]])</f>
        <v>1.4359999999999999</v>
      </c>
      <c r="P237" s="3">
        <f t="shared" si="27"/>
        <v>24</v>
      </c>
      <c r="Q237" s="3">
        <f t="shared" si="28"/>
        <v>8</v>
      </c>
      <c r="R237" s="3">
        <f t="shared" si="29"/>
        <v>35</v>
      </c>
      <c r="S237" s="3" t="str">
        <f t="shared" si="30"/>
        <v>agosto</v>
      </c>
      <c r="T237" s="21">
        <f t="shared" si="31"/>
        <v>502.59999999999997</v>
      </c>
      <c r="U237" s="21">
        <f t="shared" si="32"/>
        <v>476.35</v>
      </c>
      <c r="V237" s="21">
        <f t="shared" si="33"/>
        <v>502.25</v>
      </c>
      <c r="W237" s="21">
        <f>+Tabla4[[#This Row],[9KWA]]*350</f>
        <v>469</v>
      </c>
      <c r="X237" s="21">
        <f>350*Tabla4[[#This Row],[Max Factor Medido]]</f>
        <v>502.59999999999997</v>
      </c>
      <c r="Y237" s="39">
        <v>0.94</v>
      </c>
      <c r="Z237" s="3">
        <f t="shared" si="34"/>
        <v>2025</v>
      </c>
      <c r="AA237" s="21">
        <f>+MEDIAN(Tabla4[[#This Row],[kwreal 6]:[kwreal 9]])</f>
        <v>489.3</v>
      </c>
      <c r="AB237" s="21">
        <f>+Tabla4[[#This Row],[LineaBase-FD]]/350</f>
        <v>1.3980000000000001</v>
      </c>
    </row>
    <row r="238" spans="1:28" x14ac:dyDescent="0.3">
      <c r="A238" s="28">
        <v>605</v>
      </c>
      <c r="B238" s="3">
        <v>180</v>
      </c>
      <c r="C238" s="3">
        <v>70</v>
      </c>
      <c r="D238" s="3">
        <v>321</v>
      </c>
      <c r="E238" s="3">
        <v>33</v>
      </c>
      <c r="F238" s="77">
        <v>1.4359999999999999</v>
      </c>
      <c r="G238" s="77">
        <v>1.361</v>
      </c>
      <c r="H238" s="77">
        <v>1.4350000000000001</v>
      </c>
      <c r="I238" s="77">
        <v>1.3460000000000001</v>
      </c>
      <c r="J238" s="3">
        <v>178</v>
      </c>
      <c r="K238" s="16">
        <v>0.30972222222222223</v>
      </c>
      <c r="L238" s="5">
        <f t="shared" si="35"/>
        <v>45894</v>
      </c>
      <c r="M238" s="3">
        <v>0.99</v>
      </c>
      <c r="N238" s="22">
        <v>1.171</v>
      </c>
      <c r="O238" s="22">
        <f>+MAX(Tabla4[[#This Row],[6KWA]:[9KWA]])</f>
        <v>1.4359999999999999</v>
      </c>
      <c r="P238" s="3">
        <f t="shared" si="27"/>
        <v>25</v>
      </c>
      <c r="Q238" s="3">
        <f t="shared" si="28"/>
        <v>8</v>
      </c>
      <c r="R238" s="3">
        <f t="shared" si="29"/>
        <v>35</v>
      </c>
      <c r="S238" s="3" t="str">
        <f t="shared" si="30"/>
        <v>agosto</v>
      </c>
      <c r="T238" s="21">
        <f t="shared" si="31"/>
        <v>502.59999999999997</v>
      </c>
      <c r="U238" s="21">
        <f t="shared" si="32"/>
        <v>476.35</v>
      </c>
      <c r="V238" s="21">
        <f t="shared" si="33"/>
        <v>502.25</v>
      </c>
      <c r="W238" s="21">
        <f>+Tabla4[[#This Row],[9KWA]]*350</f>
        <v>471.1</v>
      </c>
      <c r="X238" s="21">
        <f>350*Tabla4[[#This Row],[Max Factor Medido]]</f>
        <v>502.59999999999997</v>
      </c>
      <c r="Y238" s="39">
        <v>0.94</v>
      </c>
      <c r="Z238" s="3">
        <f t="shared" si="34"/>
        <v>2025</v>
      </c>
      <c r="AA238" s="21">
        <f>+MEDIAN(Tabla4[[#This Row],[kwreal 6]:[kwreal 9]])</f>
        <v>489.3</v>
      </c>
      <c r="AB238" s="21">
        <f>+Tabla4[[#This Row],[LineaBase-FD]]/350</f>
        <v>1.3980000000000001</v>
      </c>
    </row>
    <row r="239" spans="1:28" x14ac:dyDescent="0.3">
      <c r="A239" s="28">
        <v>634</v>
      </c>
      <c r="B239" s="3">
        <v>192</v>
      </c>
      <c r="C239" s="3">
        <v>75</v>
      </c>
      <c r="D239" s="3">
        <v>333</v>
      </c>
      <c r="E239" s="3">
        <v>33</v>
      </c>
      <c r="F239" s="77">
        <v>1.4359999999999999</v>
      </c>
      <c r="G239" s="77">
        <v>1.375</v>
      </c>
      <c r="H239" s="77">
        <v>1.4350000000000001</v>
      </c>
      <c r="I239" s="77">
        <v>1.3460000000000001</v>
      </c>
      <c r="J239" s="3">
        <v>181</v>
      </c>
      <c r="K239" s="16">
        <v>0.30555555555555558</v>
      </c>
      <c r="L239" s="5">
        <f t="shared" si="35"/>
        <v>45895</v>
      </c>
      <c r="M239" s="3">
        <v>0.99</v>
      </c>
      <c r="N239" s="22">
        <v>1.262</v>
      </c>
      <c r="O239" s="22">
        <f>+MAX(Tabla4[[#This Row],[6KWA]:[9KWA]])</f>
        <v>1.4359999999999999</v>
      </c>
      <c r="P239" s="3">
        <f t="shared" si="27"/>
        <v>26</v>
      </c>
      <c r="Q239" s="3">
        <f t="shared" si="28"/>
        <v>8</v>
      </c>
      <c r="R239" s="3">
        <f t="shared" si="29"/>
        <v>35</v>
      </c>
      <c r="S239" s="3" t="str">
        <f t="shared" si="30"/>
        <v>agosto</v>
      </c>
      <c r="T239" s="21">
        <f t="shared" si="31"/>
        <v>502.59999999999997</v>
      </c>
      <c r="U239" s="21">
        <f t="shared" si="32"/>
        <v>481.25</v>
      </c>
      <c r="V239" s="21">
        <f t="shared" si="33"/>
        <v>502.25</v>
      </c>
      <c r="W239" s="21">
        <f>+Tabla4[[#This Row],[9KWA]]*350</f>
        <v>471.1</v>
      </c>
      <c r="X239" s="21">
        <f>350*Tabla4[[#This Row],[Max Factor Medido]]</f>
        <v>502.59999999999997</v>
      </c>
      <c r="Y239" s="39">
        <v>0.94</v>
      </c>
      <c r="Z239" s="3">
        <f t="shared" si="34"/>
        <v>2025</v>
      </c>
      <c r="AA239" s="21">
        <f>+MEDIAN(Tabla4[[#This Row],[kwreal 6]:[kwreal 9]])</f>
        <v>491.75</v>
      </c>
      <c r="AB239" s="21">
        <f>+Tabla4[[#This Row],[LineaBase-FD]]/350</f>
        <v>1.405</v>
      </c>
    </row>
    <row r="240" spans="1:28" x14ac:dyDescent="0.3">
      <c r="A240" s="28">
        <v>662</v>
      </c>
      <c r="B240" s="3">
        <v>205</v>
      </c>
      <c r="C240" s="3">
        <v>80</v>
      </c>
      <c r="D240" s="3">
        <v>343</v>
      </c>
      <c r="E240" s="3">
        <v>33</v>
      </c>
      <c r="F240" s="77">
        <v>1.4359999999999999</v>
      </c>
      <c r="G240" s="77">
        <v>1.429</v>
      </c>
      <c r="H240" s="77">
        <v>1.4350000000000001</v>
      </c>
      <c r="I240" s="77">
        <v>1.3460000000000001</v>
      </c>
      <c r="J240" s="3">
        <v>183</v>
      </c>
      <c r="K240" s="16">
        <v>0.28055555555555556</v>
      </c>
      <c r="L240" s="5">
        <f t="shared" si="35"/>
        <v>45896</v>
      </c>
      <c r="M240" s="3">
        <v>0.99</v>
      </c>
      <c r="N240" s="22">
        <v>1.077</v>
      </c>
      <c r="O240" s="22">
        <f>+MAX(Tabla4[[#This Row],[6KWA]:[9KWA]])</f>
        <v>1.4359999999999999</v>
      </c>
      <c r="P240" s="3">
        <f t="shared" si="27"/>
        <v>27</v>
      </c>
      <c r="Q240" s="3">
        <f t="shared" si="28"/>
        <v>8</v>
      </c>
      <c r="R240" s="3">
        <f t="shared" si="29"/>
        <v>35</v>
      </c>
      <c r="S240" s="3" t="str">
        <f t="shared" si="30"/>
        <v>agosto</v>
      </c>
      <c r="T240" s="21">
        <f t="shared" si="31"/>
        <v>502.59999999999997</v>
      </c>
      <c r="U240" s="21">
        <f t="shared" si="32"/>
        <v>500.15000000000003</v>
      </c>
      <c r="V240" s="21">
        <f t="shared" si="33"/>
        <v>502.25</v>
      </c>
      <c r="W240" s="21">
        <f>+Tabla4[[#This Row],[9KWA]]*350</f>
        <v>471.1</v>
      </c>
      <c r="X240" s="21">
        <f>350*Tabla4[[#This Row],[Max Factor Medido]]</f>
        <v>502.59999999999997</v>
      </c>
      <c r="Y240" s="39">
        <v>0.94</v>
      </c>
      <c r="Z240" s="3">
        <f t="shared" si="34"/>
        <v>2025</v>
      </c>
      <c r="AA240" s="21">
        <f>+MEDIAN(Tabla4[[#This Row],[kwreal 6]:[kwreal 9]])</f>
        <v>501.20000000000005</v>
      </c>
      <c r="AB240" s="21">
        <f>+Tabla4[[#This Row],[LineaBase-FD]]/350</f>
        <v>1.4320000000000002</v>
      </c>
    </row>
    <row r="241" spans="1:28" x14ac:dyDescent="0.3">
      <c r="A241" s="28">
        <v>696</v>
      </c>
      <c r="B241" s="3">
        <v>217</v>
      </c>
      <c r="C241" s="3">
        <v>85</v>
      </c>
      <c r="D241" s="3">
        <v>354</v>
      </c>
      <c r="E241" s="3">
        <v>33</v>
      </c>
      <c r="F241" s="77">
        <v>1.4359999999999999</v>
      </c>
      <c r="G241" s="77">
        <v>1.429</v>
      </c>
      <c r="H241" s="77">
        <v>1.4350000000000001</v>
      </c>
      <c r="I241" s="77">
        <v>1.3460000000000001</v>
      </c>
      <c r="J241" s="3">
        <v>186</v>
      </c>
      <c r="K241" s="16">
        <v>0.27708333333333335</v>
      </c>
      <c r="L241" s="5">
        <f t="shared" si="35"/>
        <v>45897</v>
      </c>
      <c r="M241" s="3">
        <v>0.99</v>
      </c>
      <c r="N241" s="22">
        <v>1.0349999999999999</v>
      </c>
      <c r="O241" s="22">
        <f>+MAX(Tabla4[[#This Row],[6KWA]:[9KWA]])</f>
        <v>1.4359999999999999</v>
      </c>
      <c r="P241" s="3">
        <f t="shared" si="27"/>
        <v>28</v>
      </c>
      <c r="Q241" s="3">
        <f t="shared" si="28"/>
        <v>8</v>
      </c>
      <c r="R241" s="3">
        <f t="shared" si="29"/>
        <v>35</v>
      </c>
      <c r="S241" s="3" t="str">
        <f t="shared" si="30"/>
        <v>agosto</v>
      </c>
      <c r="T241" s="21">
        <f t="shared" si="31"/>
        <v>502.59999999999997</v>
      </c>
      <c r="U241" s="21">
        <f t="shared" si="32"/>
        <v>500.15000000000003</v>
      </c>
      <c r="V241" s="21">
        <f t="shared" si="33"/>
        <v>502.25</v>
      </c>
      <c r="W241" s="21">
        <f>+Tabla4[[#This Row],[9KWA]]*350</f>
        <v>471.1</v>
      </c>
      <c r="X241" s="21">
        <f>350*Tabla4[[#This Row],[Max Factor Medido]]</f>
        <v>502.59999999999997</v>
      </c>
      <c r="Y241" s="39">
        <v>0.94</v>
      </c>
      <c r="Z241" s="3">
        <f t="shared" si="34"/>
        <v>2025</v>
      </c>
      <c r="AA241" s="21">
        <f>+MEDIAN(Tabla4[[#This Row],[kwreal 6]:[kwreal 9]])</f>
        <v>501.20000000000005</v>
      </c>
      <c r="AB241" s="21">
        <f>+Tabla4[[#This Row],[LineaBase-FD]]/350</f>
        <v>1.4320000000000002</v>
      </c>
    </row>
    <row r="242" spans="1:28" x14ac:dyDescent="0.3">
      <c r="A242" s="28">
        <v>719</v>
      </c>
      <c r="B242" s="3">
        <v>230</v>
      </c>
      <c r="C242" s="3">
        <v>90</v>
      </c>
      <c r="D242" s="3">
        <v>365</v>
      </c>
      <c r="E242" s="3">
        <v>33</v>
      </c>
      <c r="F242" s="77">
        <v>1.5</v>
      </c>
      <c r="G242" s="77">
        <v>1.429</v>
      </c>
      <c r="H242" s="77">
        <v>1.4350000000000001</v>
      </c>
      <c r="I242" s="77">
        <v>1.3460000000000001</v>
      </c>
      <c r="J242" s="3">
        <v>189</v>
      </c>
      <c r="K242" s="16">
        <v>0.28472222222222221</v>
      </c>
      <c r="L242" s="5">
        <f t="shared" si="35"/>
        <v>45898</v>
      </c>
      <c r="M242" s="3">
        <v>0.99</v>
      </c>
      <c r="N242" s="22">
        <v>1.0429999999999999</v>
      </c>
      <c r="O242" s="22">
        <f>+MAX(Tabla4[[#This Row],[6KWA]:[9KWA]])</f>
        <v>1.5</v>
      </c>
      <c r="P242" s="3">
        <f t="shared" si="27"/>
        <v>29</v>
      </c>
      <c r="Q242" s="3">
        <f t="shared" si="28"/>
        <v>8</v>
      </c>
      <c r="R242" s="3">
        <f t="shared" si="29"/>
        <v>35</v>
      </c>
      <c r="S242" s="3" t="str">
        <f t="shared" si="30"/>
        <v>agosto</v>
      </c>
      <c r="T242" s="21">
        <f t="shared" si="31"/>
        <v>525</v>
      </c>
      <c r="U242" s="21">
        <f t="shared" si="32"/>
        <v>500.15000000000003</v>
      </c>
      <c r="V242" s="21">
        <f t="shared" si="33"/>
        <v>502.25</v>
      </c>
      <c r="W242" s="21">
        <f>+Tabla4[[#This Row],[9KWA]]*350</f>
        <v>471.1</v>
      </c>
      <c r="X242" s="21">
        <f>350*Tabla4[[#This Row],[Max Factor Medido]]</f>
        <v>525</v>
      </c>
      <c r="Y242" s="39">
        <v>0.94</v>
      </c>
      <c r="Z242" s="3">
        <f t="shared" si="34"/>
        <v>2025</v>
      </c>
      <c r="AA242" s="21">
        <f>+MEDIAN(Tabla4[[#This Row],[kwreal 6]:[kwreal 9]])</f>
        <v>501.20000000000005</v>
      </c>
      <c r="AB242" s="21">
        <f>+Tabla4[[#This Row],[LineaBase-FD]]/350</f>
        <v>1.4320000000000002</v>
      </c>
    </row>
    <row r="243" spans="1:28" x14ac:dyDescent="0.3">
      <c r="A243" s="28">
        <v>749</v>
      </c>
      <c r="B243" s="3">
        <v>243</v>
      </c>
      <c r="C243" s="3">
        <v>95</v>
      </c>
      <c r="D243" s="3">
        <v>377</v>
      </c>
      <c r="E243" s="3">
        <v>33</v>
      </c>
      <c r="F243" s="77">
        <v>1.5</v>
      </c>
      <c r="G243" s="77">
        <v>1.429</v>
      </c>
      <c r="H243" s="77">
        <v>1.4350000000000001</v>
      </c>
      <c r="I243" s="77">
        <v>1.3460000000000001</v>
      </c>
      <c r="J243" s="3">
        <v>192</v>
      </c>
      <c r="K243" s="16">
        <v>0.28472222222222221</v>
      </c>
      <c r="L243" s="5">
        <f t="shared" si="35"/>
        <v>45899</v>
      </c>
      <c r="M243" s="3">
        <v>0.99</v>
      </c>
      <c r="N243" s="22">
        <v>1.0309999999999999</v>
      </c>
      <c r="O243" s="22">
        <f>+MAX(Tabla4[[#This Row],[6KWA]:[9KWA]])</f>
        <v>1.5</v>
      </c>
      <c r="P243" s="3">
        <f t="shared" si="27"/>
        <v>30</v>
      </c>
      <c r="Q243" s="3">
        <f t="shared" si="28"/>
        <v>8</v>
      </c>
      <c r="R243" s="3">
        <f t="shared" si="29"/>
        <v>35</v>
      </c>
      <c r="S243" s="3" t="str">
        <f t="shared" si="30"/>
        <v>agosto</v>
      </c>
      <c r="T243" s="21">
        <f t="shared" si="31"/>
        <v>525</v>
      </c>
      <c r="U243" s="21">
        <f t="shared" si="32"/>
        <v>500.15000000000003</v>
      </c>
      <c r="V243" s="21">
        <f t="shared" si="33"/>
        <v>502.25</v>
      </c>
      <c r="W243" s="21">
        <f>+Tabla4[[#This Row],[9KWA]]*350</f>
        <v>471.1</v>
      </c>
      <c r="X243" s="21">
        <f>350*Tabla4[[#This Row],[Max Factor Medido]]</f>
        <v>525</v>
      </c>
      <c r="Y243" s="39">
        <v>0.94</v>
      </c>
      <c r="Z243" s="3">
        <f t="shared" si="34"/>
        <v>2025</v>
      </c>
      <c r="AA243" s="21">
        <f>+MEDIAN(Tabla4[[#This Row],[kwreal 6]:[kwreal 9]])</f>
        <v>501.20000000000005</v>
      </c>
      <c r="AB243" s="21">
        <f>+Tabla4[[#This Row],[LineaBase-FD]]/350</f>
        <v>1.4320000000000002</v>
      </c>
    </row>
    <row r="244" spans="1:28" x14ac:dyDescent="0.3">
      <c r="A244" s="28">
        <v>779</v>
      </c>
      <c r="B244" s="3">
        <v>243</v>
      </c>
      <c r="C244" s="3">
        <v>95</v>
      </c>
      <c r="D244" s="3">
        <v>402</v>
      </c>
      <c r="E244" s="3">
        <v>37</v>
      </c>
      <c r="F244" s="77">
        <v>1.5</v>
      </c>
      <c r="G244" s="77">
        <v>1.429</v>
      </c>
      <c r="H244" s="77">
        <v>1.496</v>
      </c>
      <c r="I244" s="77">
        <v>1.3460000000000001</v>
      </c>
      <c r="J244" s="3">
        <v>195</v>
      </c>
      <c r="K244" s="16">
        <v>0.29583333333333334</v>
      </c>
      <c r="L244" s="5">
        <f t="shared" si="35"/>
        <v>45900</v>
      </c>
      <c r="M244" s="3">
        <v>0.99</v>
      </c>
      <c r="N244" s="22">
        <v>1.2030000000000001</v>
      </c>
      <c r="O244" s="22">
        <f>+MAX(Tabla4[[#This Row],[6KWA]:[9KWA]])</f>
        <v>1.5</v>
      </c>
      <c r="P244" s="3">
        <f t="shared" si="27"/>
        <v>31</v>
      </c>
      <c r="Q244" s="3">
        <f t="shared" si="28"/>
        <v>8</v>
      </c>
      <c r="R244" s="3">
        <f t="shared" si="29"/>
        <v>36</v>
      </c>
      <c r="S244" s="3" t="str">
        <f t="shared" si="30"/>
        <v>agosto</v>
      </c>
      <c r="T244" s="21">
        <f t="shared" si="31"/>
        <v>525</v>
      </c>
      <c r="U244" s="21">
        <f t="shared" si="32"/>
        <v>500.15000000000003</v>
      </c>
      <c r="V244" s="21">
        <f t="shared" si="33"/>
        <v>523.6</v>
      </c>
      <c r="W244" s="21">
        <f>+Tabla4[[#This Row],[9KWA]]*350</f>
        <v>471.1</v>
      </c>
      <c r="X244" s="21">
        <f>350*Tabla4[[#This Row],[Max Factor Medido]]</f>
        <v>525</v>
      </c>
      <c r="Y244" s="39">
        <v>0.94</v>
      </c>
      <c r="Z244" s="3">
        <f t="shared" si="34"/>
        <v>2025</v>
      </c>
      <c r="AA244" s="21">
        <f>+MEDIAN(Tabla4[[#This Row],[kwreal 6]:[kwreal 9]])</f>
        <v>511.875</v>
      </c>
      <c r="AB244" s="21">
        <f>+Tabla4[[#This Row],[LineaBase-FD]]/350</f>
        <v>1.4624999999999999</v>
      </c>
    </row>
    <row r="245" spans="1:28" x14ac:dyDescent="0.3">
      <c r="A245" s="28">
        <v>808</v>
      </c>
      <c r="B245" s="3">
        <v>243</v>
      </c>
      <c r="C245" s="3">
        <v>95</v>
      </c>
      <c r="D245" s="3">
        <v>427</v>
      </c>
      <c r="E245" s="3">
        <v>42</v>
      </c>
      <c r="F245" s="77">
        <v>0</v>
      </c>
      <c r="G245" s="77">
        <v>0</v>
      </c>
      <c r="H245" s="77">
        <v>1.3</v>
      </c>
      <c r="I245" s="77">
        <v>0</v>
      </c>
      <c r="J245" s="3">
        <v>198</v>
      </c>
      <c r="K245" s="16">
        <v>0.3263888888888889</v>
      </c>
      <c r="L245" s="5">
        <v>45901</v>
      </c>
      <c r="M245" s="3">
        <v>0.99</v>
      </c>
      <c r="N245" s="22">
        <v>1.202</v>
      </c>
      <c r="O245" s="22">
        <f>+MAX(Tabla4[[#This Row],[6KWA]:[9KWA]])</f>
        <v>1.3</v>
      </c>
      <c r="P245" s="3">
        <f t="shared" si="27"/>
        <v>1</v>
      </c>
      <c r="Q245" s="3">
        <f t="shared" si="28"/>
        <v>9</v>
      </c>
      <c r="R245" s="3">
        <f t="shared" si="29"/>
        <v>36</v>
      </c>
      <c r="S245" s="3" t="str">
        <f t="shared" si="30"/>
        <v>septiembre</v>
      </c>
      <c r="T245" s="21">
        <f t="shared" si="31"/>
        <v>0</v>
      </c>
      <c r="U245" s="21">
        <f t="shared" si="32"/>
        <v>0</v>
      </c>
      <c r="V245" s="21">
        <f t="shared" si="33"/>
        <v>455</v>
      </c>
      <c r="W245" s="21">
        <f>+Tabla4[[#This Row],[9KWA]]*350</f>
        <v>0</v>
      </c>
      <c r="X245" s="21">
        <f>350*Tabla4[[#This Row],[Max Factor Medido]]</f>
        <v>455</v>
      </c>
      <c r="Y245" s="39">
        <v>0.94</v>
      </c>
      <c r="Z245" s="3">
        <f t="shared" si="34"/>
        <v>2025</v>
      </c>
      <c r="AA245" s="21">
        <f>+MEDIAN(Tabla4[[#This Row],[kwreal 6]:[kwreal 9]])</f>
        <v>0</v>
      </c>
      <c r="AB245" s="21">
        <f>+Tabla4[[#This Row],[LineaBase-FD]]/350</f>
        <v>0</v>
      </c>
    </row>
    <row r="246" spans="1:28" x14ac:dyDescent="0.3">
      <c r="A246" s="29">
        <v>837</v>
      </c>
      <c r="B246" s="2">
        <v>255</v>
      </c>
      <c r="C246" s="2">
        <v>100</v>
      </c>
      <c r="D246" s="2">
        <v>438</v>
      </c>
      <c r="E246" s="2">
        <v>42</v>
      </c>
      <c r="F246" s="77">
        <v>1.454</v>
      </c>
      <c r="G246" s="77">
        <v>1.288</v>
      </c>
      <c r="H246" s="77">
        <v>1.3</v>
      </c>
      <c r="I246" s="77">
        <v>0</v>
      </c>
      <c r="J246" s="2">
        <v>200</v>
      </c>
      <c r="K246" s="8">
        <v>0.31319444444444444</v>
      </c>
      <c r="L246" s="6">
        <f t="shared" ref="L246:L274" si="36">L245+1</f>
        <v>45902</v>
      </c>
      <c r="M246" s="2">
        <v>0.99</v>
      </c>
      <c r="N246" s="22">
        <v>1.054</v>
      </c>
      <c r="O246" s="22">
        <f>+MAX(Tabla4[[#This Row],[6KWA]:[9KWA]])</f>
        <v>1.454</v>
      </c>
      <c r="P246" s="3">
        <f t="shared" si="27"/>
        <v>2</v>
      </c>
      <c r="Q246" s="3">
        <f t="shared" si="28"/>
        <v>9</v>
      </c>
      <c r="R246" s="3">
        <f t="shared" si="29"/>
        <v>36</v>
      </c>
      <c r="S246" s="3" t="str">
        <f t="shared" si="30"/>
        <v>septiembre</v>
      </c>
      <c r="T246" s="21">
        <f t="shared" si="31"/>
        <v>508.9</v>
      </c>
      <c r="U246" s="21">
        <f t="shared" si="32"/>
        <v>450.8</v>
      </c>
      <c r="V246" s="21">
        <f t="shared" si="33"/>
        <v>455</v>
      </c>
      <c r="W246" s="21">
        <f>+Tabla4[[#This Row],[9KWA]]*350</f>
        <v>0</v>
      </c>
      <c r="X246" s="21">
        <f>350*Tabla4[[#This Row],[Max Factor Medido]]</f>
        <v>508.9</v>
      </c>
      <c r="Y246" s="39">
        <v>0.94</v>
      </c>
      <c r="Z246" s="3">
        <f t="shared" si="34"/>
        <v>2025</v>
      </c>
      <c r="AA246" s="21">
        <f>+MEDIAN(Tabla4[[#This Row],[kwreal 6]:[kwreal 9]])</f>
        <v>452.9</v>
      </c>
      <c r="AB246" s="21">
        <f>+Tabla4[[#This Row],[LineaBase-FD]]/350</f>
        <v>1.294</v>
      </c>
    </row>
    <row r="247" spans="1:28" x14ac:dyDescent="0.3">
      <c r="A247" s="28">
        <v>864</v>
      </c>
      <c r="B247" s="3">
        <v>267</v>
      </c>
      <c r="C247" s="3">
        <v>105</v>
      </c>
      <c r="D247" s="3">
        <v>448</v>
      </c>
      <c r="E247" s="3">
        <v>42</v>
      </c>
      <c r="F247" s="77">
        <v>1.454</v>
      </c>
      <c r="G247" s="77">
        <v>1.3169999999999999</v>
      </c>
      <c r="H247" s="77">
        <v>1.3</v>
      </c>
      <c r="I247" s="77">
        <v>0</v>
      </c>
      <c r="J247" s="3">
        <v>203</v>
      </c>
      <c r="K247" s="16">
        <v>0.27916666666666667</v>
      </c>
      <c r="L247" s="5">
        <f t="shared" si="36"/>
        <v>45903</v>
      </c>
      <c r="M247" s="3">
        <v>0.99</v>
      </c>
      <c r="N247" s="22">
        <v>1.1599999999999999</v>
      </c>
      <c r="O247" s="22">
        <f>+MAX(Tabla4[[#This Row],[6KWA]:[9KWA]])</f>
        <v>1.454</v>
      </c>
      <c r="P247" s="3">
        <f t="shared" si="27"/>
        <v>3</v>
      </c>
      <c r="Q247" s="3">
        <f t="shared" si="28"/>
        <v>9</v>
      </c>
      <c r="R247" s="3">
        <f t="shared" si="29"/>
        <v>36</v>
      </c>
      <c r="S247" s="3" t="str">
        <f t="shared" si="30"/>
        <v>septiembre</v>
      </c>
      <c r="T247" s="21">
        <f t="shared" si="31"/>
        <v>508.9</v>
      </c>
      <c r="U247" s="21">
        <f t="shared" si="32"/>
        <v>460.95</v>
      </c>
      <c r="V247" s="21">
        <f t="shared" si="33"/>
        <v>455</v>
      </c>
      <c r="W247" s="21">
        <f>+Tabla4[[#This Row],[9KWA]]*350</f>
        <v>0</v>
      </c>
      <c r="X247" s="21">
        <f>350*Tabla4[[#This Row],[Max Factor Medido]]</f>
        <v>508.9</v>
      </c>
      <c r="Y247" s="39">
        <v>0.94</v>
      </c>
      <c r="Z247" s="3">
        <f t="shared" si="34"/>
        <v>2025</v>
      </c>
      <c r="AA247" s="21">
        <f>+MEDIAN(Tabla4[[#This Row],[kwreal 6]:[kwreal 9]])</f>
        <v>457.97500000000002</v>
      </c>
      <c r="AB247" s="21">
        <f>+Tabla4[[#This Row],[LineaBase-FD]]/350</f>
        <v>1.3085</v>
      </c>
    </row>
    <row r="248" spans="1:28" x14ac:dyDescent="0.3">
      <c r="A248" s="29">
        <v>893</v>
      </c>
      <c r="B248" s="2">
        <v>280</v>
      </c>
      <c r="C248" s="2">
        <v>110</v>
      </c>
      <c r="D248" s="2">
        <v>459</v>
      </c>
      <c r="E248" s="2">
        <v>42</v>
      </c>
      <c r="F248" s="77">
        <v>1.454</v>
      </c>
      <c r="G248" s="77">
        <v>1.379</v>
      </c>
      <c r="H248" s="77">
        <v>1.355</v>
      </c>
      <c r="I248" s="77">
        <v>0</v>
      </c>
      <c r="J248" s="2">
        <v>206</v>
      </c>
      <c r="K248" s="8">
        <v>0.2722222222222222</v>
      </c>
      <c r="L248" s="6">
        <f t="shared" si="36"/>
        <v>45904</v>
      </c>
      <c r="M248" s="2">
        <v>0.99</v>
      </c>
      <c r="N248" s="22">
        <v>1.0609999999999999</v>
      </c>
      <c r="O248" s="22">
        <f>+MAX(Tabla4[[#This Row],[6KWA]:[9KWA]])</f>
        <v>1.454</v>
      </c>
      <c r="P248" s="3">
        <f t="shared" si="27"/>
        <v>4</v>
      </c>
      <c r="Q248" s="3">
        <f t="shared" si="28"/>
        <v>9</v>
      </c>
      <c r="R248" s="3">
        <f t="shared" si="29"/>
        <v>36</v>
      </c>
      <c r="S248" s="3" t="str">
        <f t="shared" si="30"/>
        <v>septiembre</v>
      </c>
      <c r="T248" s="21">
        <f t="shared" si="31"/>
        <v>508.9</v>
      </c>
      <c r="U248" s="21">
        <f t="shared" si="32"/>
        <v>482.65</v>
      </c>
      <c r="V248" s="21">
        <f t="shared" si="33"/>
        <v>474.25</v>
      </c>
      <c r="W248" s="21">
        <f>+Tabla4[[#This Row],[9KWA]]*350</f>
        <v>0</v>
      </c>
      <c r="X248" s="21">
        <f>350*Tabla4[[#This Row],[Max Factor Medido]]</f>
        <v>508.9</v>
      </c>
      <c r="Y248" s="39">
        <v>0.94</v>
      </c>
      <c r="Z248" s="3">
        <f t="shared" si="34"/>
        <v>2025</v>
      </c>
      <c r="AA248" s="21">
        <f>+MEDIAN(Tabla4[[#This Row],[kwreal 6]:[kwreal 9]])</f>
        <v>478.45</v>
      </c>
      <c r="AB248" s="21">
        <f>+Tabla4[[#This Row],[LineaBase-FD]]/350</f>
        <v>1.367</v>
      </c>
    </row>
    <row r="249" spans="1:28" x14ac:dyDescent="0.3">
      <c r="A249" s="29">
        <v>922</v>
      </c>
      <c r="B249" s="2">
        <v>282</v>
      </c>
      <c r="C249" s="2">
        <v>115</v>
      </c>
      <c r="D249" s="2">
        <v>471</v>
      </c>
      <c r="E249" s="2">
        <v>42</v>
      </c>
      <c r="F249" s="77">
        <v>1.454</v>
      </c>
      <c r="G249" s="77">
        <v>1.379</v>
      </c>
      <c r="H249" s="77">
        <v>1.355</v>
      </c>
      <c r="I249" s="77">
        <v>0</v>
      </c>
      <c r="J249" s="2">
        <v>208</v>
      </c>
      <c r="K249" s="8">
        <v>0.28472222222222221</v>
      </c>
      <c r="L249" s="6">
        <f t="shared" si="36"/>
        <v>45905</v>
      </c>
      <c r="M249" s="2">
        <v>0.99</v>
      </c>
      <c r="N249" s="22">
        <v>1.0509999999999999</v>
      </c>
      <c r="O249" s="22">
        <f>+MAX(Tabla4[[#This Row],[6KWA]:[9KWA]])</f>
        <v>1.454</v>
      </c>
      <c r="P249" s="3">
        <f t="shared" si="27"/>
        <v>5</v>
      </c>
      <c r="Q249" s="3">
        <f t="shared" si="28"/>
        <v>9</v>
      </c>
      <c r="R249" s="3">
        <f t="shared" si="29"/>
        <v>36</v>
      </c>
      <c r="S249" s="3" t="str">
        <f t="shared" si="30"/>
        <v>septiembre</v>
      </c>
      <c r="T249" s="21">
        <f t="shared" si="31"/>
        <v>508.9</v>
      </c>
      <c r="U249" s="21">
        <f t="shared" si="32"/>
        <v>482.65</v>
      </c>
      <c r="V249" s="21">
        <f t="shared" si="33"/>
        <v>474.25</v>
      </c>
      <c r="W249" s="21">
        <f>+Tabla4[[#This Row],[9KWA]]*350</f>
        <v>0</v>
      </c>
      <c r="X249" s="21">
        <f>350*Tabla4[[#This Row],[Max Factor Medido]]</f>
        <v>508.9</v>
      </c>
      <c r="Y249" s="39">
        <v>0.94</v>
      </c>
      <c r="Z249" s="3">
        <f t="shared" si="34"/>
        <v>2025</v>
      </c>
      <c r="AA249" s="21">
        <f>+MEDIAN(Tabla4[[#This Row],[kwreal 6]:[kwreal 9]])</f>
        <v>478.45</v>
      </c>
      <c r="AB249" s="21">
        <f>+Tabla4[[#This Row],[LineaBase-FD]]/350</f>
        <v>1.367</v>
      </c>
    </row>
    <row r="250" spans="1:28" x14ac:dyDescent="0.3">
      <c r="A250" s="28">
        <v>952</v>
      </c>
      <c r="B250" s="3">
        <v>305</v>
      </c>
      <c r="C250" s="3">
        <v>120</v>
      </c>
      <c r="D250" s="3">
        <v>483</v>
      </c>
      <c r="E250" s="3">
        <v>42</v>
      </c>
      <c r="F250" s="77">
        <v>1.454</v>
      </c>
      <c r="G250" s="77">
        <v>1.379</v>
      </c>
      <c r="H250" s="77">
        <v>1.355</v>
      </c>
      <c r="I250" s="77">
        <v>0</v>
      </c>
      <c r="J250" s="3">
        <v>211</v>
      </c>
      <c r="K250" s="16">
        <v>0.28402777777777777</v>
      </c>
      <c r="L250" s="5">
        <f t="shared" si="36"/>
        <v>45906</v>
      </c>
      <c r="M250" s="3">
        <v>0.98</v>
      </c>
      <c r="N250" s="22">
        <v>1.1950000000000001</v>
      </c>
      <c r="O250" s="22">
        <f>+MAX(Tabla4[[#This Row],[6KWA]:[9KWA]])</f>
        <v>1.454</v>
      </c>
      <c r="P250" s="3">
        <f t="shared" si="27"/>
        <v>6</v>
      </c>
      <c r="Q250" s="3">
        <f t="shared" si="28"/>
        <v>9</v>
      </c>
      <c r="R250" s="3">
        <f t="shared" si="29"/>
        <v>36</v>
      </c>
      <c r="S250" s="3" t="str">
        <f t="shared" si="30"/>
        <v>septiembre</v>
      </c>
      <c r="T250" s="21">
        <f t="shared" si="31"/>
        <v>508.9</v>
      </c>
      <c r="U250" s="21">
        <f t="shared" si="32"/>
        <v>482.65</v>
      </c>
      <c r="V250" s="21">
        <f t="shared" si="33"/>
        <v>474.25</v>
      </c>
      <c r="W250" s="21">
        <f>+Tabla4[[#This Row],[9KWA]]*350</f>
        <v>0</v>
      </c>
      <c r="X250" s="21">
        <f>350*Tabla4[[#This Row],[Max Factor Medido]]</f>
        <v>508.9</v>
      </c>
      <c r="Y250" s="39">
        <v>0.94</v>
      </c>
      <c r="Z250" s="3">
        <f t="shared" si="34"/>
        <v>2025</v>
      </c>
      <c r="AA250" s="21">
        <f>+MEDIAN(Tabla4[[#This Row],[kwreal 6]:[kwreal 9]])</f>
        <v>478.45</v>
      </c>
      <c r="AB250" s="21">
        <f>+Tabla4[[#This Row],[LineaBase-FD]]/350</f>
        <v>1.367</v>
      </c>
    </row>
    <row r="251" spans="1:28" x14ac:dyDescent="0.3">
      <c r="A251" s="28">
        <v>981</v>
      </c>
      <c r="B251" s="3">
        <v>305</v>
      </c>
      <c r="C251" s="3">
        <v>120</v>
      </c>
      <c r="D251" s="3">
        <v>508</v>
      </c>
      <c r="E251" s="3">
        <v>47</v>
      </c>
      <c r="F251" s="77">
        <v>1.454</v>
      </c>
      <c r="G251" s="77">
        <v>1.379</v>
      </c>
      <c r="H251" s="77">
        <v>1.5089999999999999</v>
      </c>
      <c r="I251" s="77">
        <v>1.3440000000000001</v>
      </c>
      <c r="J251" s="3">
        <v>214</v>
      </c>
      <c r="K251" s="16">
        <v>0.32361111111111113</v>
      </c>
      <c r="L251" s="5">
        <f t="shared" si="36"/>
        <v>45907</v>
      </c>
      <c r="M251" s="3">
        <v>0.99</v>
      </c>
      <c r="N251" s="22">
        <v>1.1200000000000001</v>
      </c>
      <c r="O251" s="22">
        <f>+MAX(Tabla4[[#This Row],[6KWA]:[9KWA]])</f>
        <v>1.5089999999999999</v>
      </c>
      <c r="P251" s="3">
        <f t="shared" si="27"/>
        <v>7</v>
      </c>
      <c r="Q251" s="3">
        <f t="shared" si="28"/>
        <v>9</v>
      </c>
      <c r="R251" s="3">
        <f t="shared" si="29"/>
        <v>37</v>
      </c>
      <c r="S251" s="3" t="str">
        <f t="shared" si="30"/>
        <v>septiembre</v>
      </c>
      <c r="T251" s="21">
        <f t="shared" si="31"/>
        <v>508.9</v>
      </c>
      <c r="U251" s="21">
        <f t="shared" si="32"/>
        <v>482.65</v>
      </c>
      <c r="V251" s="21">
        <f t="shared" si="33"/>
        <v>528.15</v>
      </c>
      <c r="W251" s="21">
        <f>+Tabla4[[#This Row],[9KWA]]*350</f>
        <v>470.40000000000003</v>
      </c>
      <c r="X251" s="21">
        <f>350*Tabla4[[#This Row],[Max Factor Medido]]</f>
        <v>528.15</v>
      </c>
      <c r="Y251" s="39">
        <v>0.94</v>
      </c>
      <c r="Z251" s="3">
        <f t="shared" si="34"/>
        <v>2025</v>
      </c>
      <c r="AA251" s="21">
        <f>+MEDIAN(Tabla4[[#This Row],[kwreal 6]:[kwreal 9]])</f>
        <v>495.77499999999998</v>
      </c>
      <c r="AB251" s="21">
        <f>+Tabla4[[#This Row],[LineaBase-FD]]/350</f>
        <v>1.4164999999999999</v>
      </c>
    </row>
    <row r="252" spans="1:28" x14ac:dyDescent="0.3">
      <c r="A252" s="28">
        <v>1009</v>
      </c>
      <c r="B252" s="3">
        <v>305</v>
      </c>
      <c r="C252" s="3">
        <v>120</v>
      </c>
      <c r="D252" s="3">
        <v>532</v>
      </c>
      <c r="E252" s="3">
        <v>52</v>
      </c>
      <c r="F252" s="77">
        <v>1.454</v>
      </c>
      <c r="G252" s="77">
        <v>1.379</v>
      </c>
      <c r="H252" s="77">
        <v>1.5089999999999999</v>
      </c>
      <c r="I252" s="77">
        <v>1.3440000000000001</v>
      </c>
      <c r="J252" s="3">
        <v>217</v>
      </c>
      <c r="K252" s="16">
        <v>0.29444444444444445</v>
      </c>
      <c r="L252" s="5">
        <f t="shared" si="36"/>
        <v>45908</v>
      </c>
      <c r="M252" s="3">
        <v>0.99</v>
      </c>
      <c r="N252" s="22">
        <v>1.08</v>
      </c>
      <c r="O252" s="22">
        <f>+MAX(Tabla4[[#This Row],[6KWA]:[9KWA]])</f>
        <v>1.5089999999999999</v>
      </c>
      <c r="P252" s="3">
        <f t="shared" si="27"/>
        <v>8</v>
      </c>
      <c r="Q252" s="3">
        <f t="shared" si="28"/>
        <v>9</v>
      </c>
      <c r="R252" s="3">
        <f t="shared" si="29"/>
        <v>37</v>
      </c>
      <c r="S252" s="3" t="str">
        <f t="shared" si="30"/>
        <v>septiembre</v>
      </c>
      <c r="T252" s="21">
        <f t="shared" si="31"/>
        <v>508.9</v>
      </c>
      <c r="U252" s="21">
        <f t="shared" si="32"/>
        <v>482.65</v>
      </c>
      <c r="V252" s="21">
        <f t="shared" si="33"/>
        <v>528.15</v>
      </c>
      <c r="W252" s="21">
        <f>+Tabla4[[#This Row],[9KWA]]*350</f>
        <v>470.40000000000003</v>
      </c>
      <c r="X252" s="21">
        <f>350*Tabla4[[#This Row],[Max Factor Medido]]</f>
        <v>528.15</v>
      </c>
      <c r="Y252" s="39">
        <v>0.94</v>
      </c>
      <c r="Z252" s="3">
        <f t="shared" si="34"/>
        <v>2025</v>
      </c>
      <c r="AA252" s="21">
        <f>+MEDIAN(Tabla4[[#This Row],[kwreal 6]:[kwreal 9]])</f>
        <v>495.77499999999998</v>
      </c>
      <c r="AB252" s="21">
        <f>+Tabla4[[#This Row],[LineaBase-FD]]/350</f>
        <v>1.4164999999999999</v>
      </c>
    </row>
    <row r="253" spans="1:28" x14ac:dyDescent="0.3">
      <c r="A253" s="28">
        <v>1039</v>
      </c>
      <c r="B253" s="3">
        <v>318</v>
      </c>
      <c r="C253" s="3">
        <v>124</v>
      </c>
      <c r="D253" s="3">
        <v>543</v>
      </c>
      <c r="E253" s="3">
        <v>52</v>
      </c>
      <c r="F253" s="77">
        <v>1.454</v>
      </c>
      <c r="G253" s="77">
        <v>1.4410000000000001</v>
      </c>
      <c r="H253" s="77">
        <v>1.5089999999999999</v>
      </c>
      <c r="I253" s="77">
        <v>1.3440000000000001</v>
      </c>
      <c r="J253" s="3">
        <v>219</v>
      </c>
      <c r="K253" s="16">
        <v>0.29583333333333334</v>
      </c>
      <c r="L253" s="5">
        <f t="shared" si="36"/>
        <v>45909</v>
      </c>
      <c r="M253" s="3">
        <v>0.98</v>
      </c>
      <c r="N253" s="22">
        <v>1.171</v>
      </c>
      <c r="O253" s="22">
        <f>+MAX(Tabla4[[#This Row],[6KWA]:[9KWA]])</f>
        <v>1.5089999999999999</v>
      </c>
      <c r="P253" s="3">
        <f t="shared" si="27"/>
        <v>9</v>
      </c>
      <c r="Q253" s="3">
        <f t="shared" si="28"/>
        <v>9</v>
      </c>
      <c r="R253" s="3">
        <f t="shared" si="29"/>
        <v>37</v>
      </c>
      <c r="S253" s="3" t="str">
        <f t="shared" si="30"/>
        <v>septiembre</v>
      </c>
      <c r="T253" s="21">
        <f t="shared" si="31"/>
        <v>508.9</v>
      </c>
      <c r="U253" s="21">
        <f t="shared" si="32"/>
        <v>504.35</v>
      </c>
      <c r="V253" s="21">
        <f t="shared" si="33"/>
        <v>528.15</v>
      </c>
      <c r="W253" s="21">
        <f>+Tabla4[[#This Row],[9KWA]]*350</f>
        <v>470.40000000000003</v>
      </c>
      <c r="X253" s="21">
        <f>350*Tabla4[[#This Row],[Max Factor Medido]]</f>
        <v>528.15</v>
      </c>
      <c r="Y253" s="39">
        <v>0.94</v>
      </c>
      <c r="Z253" s="3">
        <f t="shared" si="34"/>
        <v>2025</v>
      </c>
      <c r="AA253" s="21">
        <f>+MEDIAN(Tabla4[[#This Row],[kwreal 6]:[kwreal 9]])</f>
        <v>506.625</v>
      </c>
      <c r="AB253" s="21">
        <f>+Tabla4[[#This Row],[LineaBase-FD]]/350</f>
        <v>1.4475</v>
      </c>
    </row>
    <row r="254" spans="1:28" x14ac:dyDescent="0.3">
      <c r="A254" s="28">
        <v>1067</v>
      </c>
      <c r="B254" s="3">
        <v>330</v>
      </c>
      <c r="C254" s="3">
        <v>129</v>
      </c>
      <c r="D254" s="3">
        <v>554</v>
      </c>
      <c r="E254" s="3">
        <v>52</v>
      </c>
      <c r="F254" s="77">
        <v>1.454</v>
      </c>
      <c r="G254" s="77">
        <v>1.4410000000000001</v>
      </c>
      <c r="H254" s="77">
        <v>1.5089999999999999</v>
      </c>
      <c r="I254" s="77">
        <v>1.3440000000000001</v>
      </c>
      <c r="J254" s="3">
        <v>222</v>
      </c>
      <c r="K254" s="16">
        <v>0.28055555555555556</v>
      </c>
      <c r="L254" s="5">
        <f t="shared" si="36"/>
        <v>45910</v>
      </c>
      <c r="M254" s="3">
        <v>0.99</v>
      </c>
      <c r="N254" s="22">
        <v>1.141</v>
      </c>
      <c r="O254" s="22">
        <f>+MAX(Tabla4[[#This Row],[6KWA]:[9KWA]])</f>
        <v>1.5089999999999999</v>
      </c>
      <c r="P254" s="3">
        <f t="shared" si="27"/>
        <v>10</v>
      </c>
      <c r="Q254" s="3">
        <f t="shared" si="28"/>
        <v>9</v>
      </c>
      <c r="R254" s="3">
        <f t="shared" si="29"/>
        <v>37</v>
      </c>
      <c r="S254" s="3" t="str">
        <f t="shared" si="30"/>
        <v>septiembre</v>
      </c>
      <c r="T254" s="21">
        <f t="shared" si="31"/>
        <v>508.9</v>
      </c>
      <c r="U254" s="21">
        <f t="shared" si="32"/>
        <v>504.35</v>
      </c>
      <c r="V254" s="21">
        <f t="shared" si="33"/>
        <v>528.15</v>
      </c>
      <c r="W254" s="21">
        <f>+Tabla4[[#This Row],[9KWA]]*350</f>
        <v>470.40000000000003</v>
      </c>
      <c r="X254" s="21">
        <f>350*Tabla4[[#This Row],[Max Factor Medido]]</f>
        <v>528.15</v>
      </c>
      <c r="Y254" s="39">
        <v>0.94</v>
      </c>
      <c r="Z254" s="3">
        <f t="shared" si="34"/>
        <v>2025</v>
      </c>
      <c r="AA254" s="21">
        <f>+MEDIAN(Tabla4[[#This Row],[kwreal 6]:[kwreal 9]])</f>
        <v>506.625</v>
      </c>
      <c r="AB254" s="21">
        <f>+Tabla4[[#This Row],[LineaBase-FD]]/350</f>
        <v>1.4475</v>
      </c>
    </row>
    <row r="255" spans="1:28" x14ac:dyDescent="0.3">
      <c r="A255" s="28">
        <v>1096</v>
      </c>
      <c r="B255" s="3">
        <v>343</v>
      </c>
      <c r="C255" s="3">
        <v>134</v>
      </c>
      <c r="D255" s="3">
        <v>565</v>
      </c>
      <c r="E255" s="3">
        <v>52</v>
      </c>
      <c r="F255" s="77">
        <v>1.454</v>
      </c>
      <c r="G255" s="77">
        <v>1.4410000000000001</v>
      </c>
      <c r="H255" s="77">
        <v>1.5089999999999999</v>
      </c>
      <c r="I255" s="77">
        <v>1.3440000000000001</v>
      </c>
      <c r="J255" s="3">
        <v>225</v>
      </c>
      <c r="K255" s="16">
        <v>0.31736111111111109</v>
      </c>
      <c r="L255" s="5">
        <f t="shared" si="36"/>
        <v>45911</v>
      </c>
      <c r="M255" s="3">
        <v>0.99</v>
      </c>
      <c r="N255" s="22">
        <v>1.05</v>
      </c>
      <c r="O255" s="22">
        <f>+MAX(Tabla4[[#This Row],[6KWA]:[9KWA]])</f>
        <v>1.5089999999999999</v>
      </c>
      <c r="P255" s="3">
        <f t="shared" si="27"/>
        <v>11</v>
      </c>
      <c r="Q255" s="3">
        <f t="shared" si="28"/>
        <v>9</v>
      </c>
      <c r="R255" s="3">
        <f t="shared" si="29"/>
        <v>37</v>
      </c>
      <c r="S255" s="3" t="str">
        <f t="shared" si="30"/>
        <v>septiembre</v>
      </c>
      <c r="T255" s="21">
        <f t="shared" si="31"/>
        <v>508.9</v>
      </c>
      <c r="U255" s="21">
        <f t="shared" si="32"/>
        <v>504.35</v>
      </c>
      <c r="V255" s="21">
        <f t="shared" si="33"/>
        <v>528.15</v>
      </c>
      <c r="W255" s="21">
        <f>+Tabla4[[#This Row],[9KWA]]*350</f>
        <v>470.40000000000003</v>
      </c>
      <c r="X255" s="21">
        <f>350*Tabla4[[#This Row],[Max Factor Medido]]</f>
        <v>528.15</v>
      </c>
      <c r="Y255" s="39">
        <v>0.94</v>
      </c>
      <c r="Z255" s="3">
        <f t="shared" si="34"/>
        <v>2025</v>
      </c>
      <c r="AA255" s="21">
        <f>+MEDIAN(Tabla4[[#This Row],[kwreal 6]:[kwreal 9]])</f>
        <v>506.625</v>
      </c>
      <c r="AB255" s="21">
        <f>+Tabla4[[#This Row],[LineaBase-FD]]/350</f>
        <v>1.4475</v>
      </c>
    </row>
    <row r="256" spans="1:28" x14ac:dyDescent="0.3">
      <c r="A256" s="29">
        <v>1127</v>
      </c>
      <c r="B256" s="2">
        <v>356</v>
      </c>
      <c r="C256" s="2">
        <v>140</v>
      </c>
      <c r="D256" s="2">
        <v>577</v>
      </c>
      <c r="E256" s="2">
        <v>52</v>
      </c>
      <c r="F256" s="77">
        <v>1.478</v>
      </c>
      <c r="G256" s="77">
        <v>1.5069999999999999</v>
      </c>
      <c r="H256" s="77">
        <v>1.5089999999999999</v>
      </c>
      <c r="I256" s="77">
        <v>1.3440000000000001</v>
      </c>
      <c r="J256" s="2">
        <v>228</v>
      </c>
      <c r="K256" s="8">
        <v>0.28472222222222221</v>
      </c>
      <c r="L256" s="6">
        <f t="shared" si="36"/>
        <v>45912</v>
      </c>
      <c r="M256" s="2">
        <v>0.99</v>
      </c>
      <c r="N256" s="22">
        <v>1.423</v>
      </c>
      <c r="O256" s="22">
        <f>+MAX(Tabla4[[#This Row],[6KWA]:[9KWA]])</f>
        <v>1.5089999999999999</v>
      </c>
      <c r="P256" s="3">
        <f t="shared" si="27"/>
        <v>12</v>
      </c>
      <c r="Q256" s="3">
        <f t="shared" si="28"/>
        <v>9</v>
      </c>
      <c r="R256" s="3">
        <f t="shared" si="29"/>
        <v>37</v>
      </c>
      <c r="S256" s="3" t="str">
        <f t="shared" si="30"/>
        <v>septiembre</v>
      </c>
      <c r="T256" s="21">
        <f t="shared" si="31"/>
        <v>517.29999999999995</v>
      </c>
      <c r="U256" s="21">
        <f t="shared" si="32"/>
        <v>527.44999999999993</v>
      </c>
      <c r="V256" s="21">
        <f t="shared" si="33"/>
        <v>528.15</v>
      </c>
      <c r="W256" s="21">
        <f>+Tabla4[[#This Row],[9KWA]]*350</f>
        <v>470.40000000000003</v>
      </c>
      <c r="X256" s="21">
        <f>350*Tabla4[[#This Row],[Max Factor Medido]]</f>
        <v>528.15</v>
      </c>
      <c r="Y256" s="39">
        <v>0.94</v>
      </c>
      <c r="Z256" s="3">
        <f t="shared" si="34"/>
        <v>2025</v>
      </c>
      <c r="AA256" s="21">
        <f>+MEDIAN(Tabla4[[#This Row],[kwreal 6]:[kwreal 9]])</f>
        <v>522.375</v>
      </c>
      <c r="AB256" s="21">
        <f>+Tabla4[[#This Row],[LineaBase-FD]]/350</f>
        <v>1.4924999999999999</v>
      </c>
    </row>
    <row r="257" spans="1:28" x14ac:dyDescent="0.3">
      <c r="A257" s="29">
        <v>1157</v>
      </c>
      <c r="B257" s="2">
        <v>369</v>
      </c>
      <c r="C257" s="2">
        <v>145</v>
      </c>
      <c r="D257" s="2">
        <v>589</v>
      </c>
      <c r="E257" s="2">
        <v>52</v>
      </c>
      <c r="F257" s="77">
        <v>1.617</v>
      </c>
      <c r="G257" s="77">
        <v>1.5069999999999999</v>
      </c>
      <c r="H257" s="77">
        <v>1.5089999999999999</v>
      </c>
      <c r="I257" s="77">
        <v>1.3440000000000001</v>
      </c>
      <c r="J257" s="2">
        <v>234</v>
      </c>
      <c r="K257" s="8">
        <v>0.28819444444444442</v>
      </c>
      <c r="L257" s="6">
        <f t="shared" si="36"/>
        <v>45913</v>
      </c>
      <c r="M257" s="2">
        <v>0.98</v>
      </c>
      <c r="N257" s="22">
        <v>1.085</v>
      </c>
      <c r="O257" s="22">
        <f>+MAX(Tabla4[[#This Row],[6KWA]:[9KWA]])</f>
        <v>1.617</v>
      </c>
      <c r="P257" s="3">
        <f t="shared" si="27"/>
        <v>13</v>
      </c>
      <c r="Q257" s="3">
        <f t="shared" si="28"/>
        <v>9</v>
      </c>
      <c r="R257" s="3">
        <f t="shared" si="29"/>
        <v>37</v>
      </c>
      <c r="S257" s="3" t="str">
        <f t="shared" si="30"/>
        <v>septiembre</v>
      </c>
      <c r="T257" s="21">
        <f t="shared" si="31"/>
        <v>565.95000000000005</v>
      </c>
      <c r="U257" s="21">
        <f t="shared" si="32"/>
        <v>527.44999999999993</v>
      </c>
      <c r="V257" s="21">
        <f t="shared" si="33"/>
        <v>528.15</v>
      </c>
      <c r="W257" s="21">
        <f>+Tabla4[[#This Row],[9KWA]]*350</f>
        <v>470.40000000000003</v>
      </c>
      <c r="X257" s="21">
        <f>350*Tabla4[[#This Row],[Max Factor Medido]]</f>
        <v>565.95000000000005</v>
      </c>
      <c r="Y257" s="39">
        <v>0.94</v>
      </c>
      <c r="Z257" s="3">
        <f t="shared" si="34"/>
        <v>2025</v>
      </c>
      <c r="AA257" s="21">
        <f>+MEDIAN(Tabla4[[#This Row],[kwreal 6]:[kwreal 9]])</f>
        <v>527.79999999999995</v>
      </c>
      <c r="AB257" s="21">
        <f>+Tabla4[[#This Row],[LineaBase-FD]]/350</f>
        <v>1.5079999999999998</v>
      </c>
    </row>
    <row r="258" spans="1:28" x14ac:dyDescent="0.3">
      <c r="A258" s="28">
        <v>1187</v>
      </c>
      <c r="B258" s="3">
        <v>369</v>
      </c>
      <c r="C258" s="3">
        <v>145</v>
      </c>
      <c r="D258" s="3">
        <v>609</v>
      </c>
      <c r="E258" s="3">
        <v>62</v>
      </c>
      <c r="F258" s="77">
        <v>1.617</v>
      </c>
      <c r="G258" s="77">
        <v>1.5069999999999999</v>
      </c>
      <c r="H258" s="77">
        <v>1.5089999999999999</v>
      </c>
      <c r="I258" s="77">
        <v>1.4259999999999999</v>
      </c>
      <c r="J258" s="3">
        <v>234</v>
      </c>
      <c r="K258" s="16">
        <v>0.29722222222222222</v>
      </c>
      <c r="L258" s="5">
        <f t="shared" si="36"/>
        <v>45914</v>
      </c>
      <c r="M258" s="3">
        <v>0.99</v>
      </c>
      <c r="N258" s="22">
        <v>1.02</v>
      </c>
      <c r="O258" s="22">
        <f>+MAX(Tabla4[[#This Row],[6KWA]:[9KWA]])</f>
        <v>1.617</v>
      </c>
      <c r="P258" s="3">
        <f t="shared" ref="P258:P321" si="37">+DAY(L258)</f>
        <v>14</v>
      </c>
      <c r="Q258" s="3">
        <f t="shared" ref="Q258:Q321" si="38">+MONTH(L258)</f>
        <v>9</v>
      </c>
      <c r="R258" s="3">
        <f t="shared" ref="R258:R321" si="39">WEEKNUM(L258)</f>
        <v>38</v>
      </c>
      <c r="S258" s="3" t="str">
        <f t="shared" ref="S258:S321" si="40">TEXT(L258,"mmmm")</f>
        <v>septiembre</v>
      </c>
      <c r="T258" s="21">
        <f t="shared" ref="T258:T321" si="41">350*F258</f>
        <v>565.95000000000005</v>
      </c>
      <c r="U258" s="21">
        <f t="shared" ref="U258:U321" si="42">350*G258</f>
        <v>527.44999999999993</v>
      </c>
      <c r="V258" s="21">
        <f t="shared" ref="V258:V321" si="43">350*H258</f>
        <v>528.15</v>
      </c>
      <c r="W258" s="21">
        <f>+Tabla4[[#This Row],[9KWA]]*350</f>
        <v>499.09999999999997</v>
      </c>
      <c r="X258" s="21">
        <f>350*Tabla4[[#This Row],[Max Factor Medido]]</f>
        <v>565.95000000000005</v>
      </c>
      <c r="Y258" s="39">
        <v>0.94</v>
      </c>
      <c r="Z258" s="3">
        <f t="shared" ref="Z258:Z321" si="44">+YEAR(L258)</f>
        <v>2025</v>
      </c>
      <c r="AA258" s="21">
        <f>+MEDIAN(Tabla4[[#This Row],[kwreal 6]:[kwreal 9]])</f>
        <v>527.79999999999995</v>
      </c>
      <c r="AB258" s="21">
        <f>+Tabla4[[#This Row],[LineaBase-FD]]/350</f>
        <v>1.5079999999999998</v>
      </c>
    </row>
    <row r="259" spans="1:28" x14ac:dyDescent="0.3">
      <c r="A259" s="28">
        <v>1214</v>
      </c>
      <c r="B259" s="3">
        <v>369</v>
      </c>
      <c r="C259" s="3">
        <v>145</v>
      </c>
      <c r="D259" s="3">
        <v>637</v>
      </c>
      <c r="E259" s="3">
        <v>62</v>
      </c>
      <c r="F259" s="77">
        <v>1.617</v>
      </c>
      <c r="G259" s="77">
        <v>1.5069999999999999</v>
      </c>
      <c r="H259" s="77">
        <v>1.5089999999999999</v>
      </c>
      <c r="I259" s="77">
        <v>1.4259999999999999</v>
      </c>
      <c r="J259" s="3">
        <v>237</v>
      </c>
      <c r="K259" s="16">
        <v>0.29166666666666669</v>
      </c>
      <c r="L259" s="5">
        <f t="shared" si="36"/>
        <v>45915</v>
      </c>
      <c r="M259" s="3">
        <v>0.99</v>
      </c>
      <c r="N259" s="22">
        <v>1.012</v>
      </c>
      <c r="O259" s="22">
        <f>+MAX(Tabla4[[#This Row],[6KWA]:[9KWA]])</f>
        <v>1.617</v>
      </c>
      <c r="P259" s="3">
        <f t="shared" si="37"/>
        <v>15</v>
      </c>
      <c r="Q259" s="3">
        <f t="shared" si="38"/>
        <v>9</v>
      </c>
      <c r="R259" s="3">
        <f t="shared" si="39"/>
        <v>38</v>
      </c>
      <c r="S259" s="3" t="str">
        <f t="shared" si="40"/>
        <v>septiembre</v>
      </c>
      <c r="T259" s="21">
        <f t="shared" si="41"/>
        <v>565.95000000000005</v>
      </c>
      <c r="U259" s="21">
        <f t="shared" si="42"/>
        <v>527.44999999999993</v>
      </c>
      <c r="V259" s="21">
        <f t="shared" si="43"/>
        <v>528.15</v>
      </c>
      <c r="W259" s="21">
        <f>+Tabla4[[#This Row],[9KWA]]*350</f>
        <v>499.09999999999997</v>
      </c>
      <c r="X259" s="21">
        <f>350*Tabla4[[#This Row],[Max Factor Medido]]</f>
        <v>565.95000000000005</v>
      </c>
      <c r="Y259" s="39">
        <v>0.94</v>
      </c>
      <c r="Z259" s="3">
        <f t="shared" si="44"/>
        <v>2025</v>
      </c>
      <c r="AA259" s="21">
        <f>+MEDIAN(Tabla4[[#This Row],[kwreal 6]:[kwreal 9]])</f>
        <v>527.79999999999995</v>
      </c>
      <c r="AB259" s="21">
        <f>+Tabla4[[#This Row],[LineaBase-FD]]/350</f>
        <v>1.5079999999999998</v>
      </c>
    </row>
    <row r="260" spans="1:28" x14ac:dyDescent="0.3">
      <c r="A260" s="28">
        <v>1244</v>
      </c>
      <c r="B260" s="3">
        <v>382</v>
      </c>
      <c r="C260" s="3">
        <v>150</v>
      </c>
      <c r="D260" s="3">
        <v>649</v>
      </c>
      <c r="E260" s="3">
        <v>62</v>
      </c>
      <c r="F260" s="77">
        <v>1.617</v>
      </c>
      <c r="G260" s="77">
        <v>1.5069999999999999</v>
      </c>
      <c r="H260" s="77">
        <v>1.5089999999999999</v>
      </c>
      <c r="I260" s="77">
        <v>1.4259999999999999</v>
      </c>
      <c r="J260" s="3">
        <v>241</v>
      </c>
      <c r="K260" s="16">
        <v>0.29444444444444445</v>
      </c>
      <c r="L260" s="5">
        <f t="shared" si="36"/>
        <v>45916</v>
      </c>
      <c r="M260" s="3">
        <v>0.99</v>
      </c>
      <c r="N260" s="22">
        <v>9.92</v>
      </c>
      <c r="O260" s="22">
        <f>+MAX(Tabla4[[#This Row],[6KWA]:[9KWA]])</f>
        <v>1.617</v>
      </c>
      <c r="P260" s="3">
        <f t="shared" si="37"/>
        <v>16</v>
      </c>
      <c r="Q260" s="3">
        <f t="shared" si="38"/>
        <v>9</v>
      </c>
      <c r="R260" s="3">
        <f t="shared" si="39"/>
        <v>38</v>
      </c>
      <c r="S260" s="3" t="str">
        <f t="shared" si="40"/>
        <v>septiembre</v>
      </c>
      <c r="T260" s="21">
        <f t="shared" si="41"/>
        <v>565.95000000000005</v>
      </c>
      <c r="U260" s="21">
        <f t="shared" si="42"/>
        <v>527.44999999999993</v>
      </c>
      <c r="V260" s="21">
        <f t="shared" si="43"/>
        <v>528.15</v>
      </c>
      <c r="W260" s="21">
        <f>+Tabla4[[#This Row],[9KWA]]*350</f>
        <v>499.09999999999997</v>
      </c>
      <c r="X260" s="21">
        <f>350*Tabla4[[#This Row],[Max Factor Medido]]</f>
        <v>565.95000000000005</v>
      </c>
      <c r="Y260" s="39">
        <v>0.94</v>
      </c>
      <c r="Z260" s="3">
        <f t="shared" si="44"/>
        <v>2025</v>
      </c>
      <c r="AA260" s="21">
        <f>+MEDIAN(Tabla4[[#This Row],[kwreal 6]:[kwreal 9]])</f>
        <v>527.79999999999995</v>
      </c>
      <c r="AB260" s="21">
        <f>+Tabla4[[#This Row],[LineaBase-FD]]/350</f>
        <v>1.5079999999999998</v>
      </c>
    </row>
    <row r="261" spans="1:28" x14ac:dyDescent="0.3">
      <c r="A261" s="28">
        <v>1285</v>
      </c>
      <c r="B261" s="3">
        <v>405</v>
      </c>
      <c r="C261" s="3">
        <v>155</v>
      </c>
      <c r="D261" s="3">
        <v>661</v>
      </c>
      <c r="E261" s="3">
        <v>62</v>
      </c>
      <c r="F261" s="77">
        <v>1.617</v>
      </c>
      <c r="G261" s="77">
        <v>1.5069999999999999</v>
      </c>
      <c r="H261" s="77">
        <v>1.5089999999999999</v>
      </c>
      <c r="I261" s="77">
        <v>1.4259999999999999</v>
      </c>
      <c r="J261" s="3">
        <v>245</v>
      </c>
      <c r="K261" s="16">
        <v>0.64930555555555558</v>
      </c>
      <c r="L261" s="5">
        <f t="shared" si="36"/>
        <v>45917</v>
      </c>
      <c r="M261" s="3">
        <v>0.98</v>
      </c>
      <c r="N261" s="22">
        <v>1.296</v>
      </c>
      <c r="O261" s="22">
        <f>+MAX(Tabla4[[#This Row],[6KWA]:[9KWA]])</f>
        <v>1.617</v>
      </c>
      <c r="P261" s="3">
        <f t="shared" si="37"/>
        <v>17</v>
      </c>
      <c r="Q261" s="3">
        <f t="shared" si="38"/>
        <v>9</v>
      </c>
      <c r="R261" s="3">
        <f t="shared" si="39"/>
        <v>38</v>
      </c>
      <c r="S261" s="3" t="str">
        <f t="shared" si="40"/>
        <v>septiembre</v>
      </c>
      <c r="T261" s="21">
        <f t="shared" si="41"/>
        <v>565.95000000000005</v>
      </c>
      <c r="U261" s="21">
        <f t="shared" si="42"/>
        <v>527.44999999999993</v>
      </c>
      <c r="V261" s="21">
        <f t="shared" si="43"/>
        <v>528.15</v>
      </c>
      <c r="W261" s="21">
        <f>+Tabla4[[#This Row],[9KWA]]*350</f>
        <v>499.09999999999997</v>
      </c>
      <c r="X261" s="21">
        <f>350*Tabla4[[#This Row],[Max Factor Medido]]</f>
        <v>565.95000000000005</v>
      </c>
      <c r="Y261" s="39">
        <v>0.94</v>
      </c>
      <c r="Z261" s="3">
        <f t="shared" si="44"/>
        <v>2025</v>
      </c>
      <c r="AA261" s="21">
        <f>+MEDIAN(Tabla4[[#This Row],[kwreal 6]:[kwreal 9]])</f>
        <v>527.79999999999995</v>
      </c>
      <c r="AB261" s="21">
        <f>+Tabla4[[#This Row],[LineaBase-FD]]/350</f>
        <v>1.5079999999999998</v>
      </c>
    </row>
    <row r="262" spans="1:28" x14ac:dyDescent="0.3">
      <c r="A262" s="29">
        <v>1301</v>
      </c>
      <c r="B262" s="2">
        <v>409</v>
      </c>
      <c r="C262" s="2">
        <v>160</v>
      </c>
      <c r="D262" s="2">
        <v>672</v>
      </c>
      <c r="E262" s="2">
        <v>62</v>
      </c>
      <c r="F262" s="77">
        <v>1.617</v>
      </c>
      <c r="G262" s="77">
        <v>1.5069999999999999</v>
      </c>
      <c r="H262" s="77">
        <v>1.5089999999999999</v>
      </c>
      <c r="I262" s="77">
        <v>1.4259999999999999</v>
      </c>
      <c r="J262" s="2">
        <v>247</v>
      </c>
      <c r="K262" s="8">
        <v>0.3</v>
      </c>
      <c r="L262" s="6">
        <f t="shared" si="36"/>
        <v>45918</v>
      </c>
      <c r="M262" s="2">
        <v>0.99</v>
      </c>
      <c r="N262" s="22">
        <v>9.9499999999999993</v>
      </c>
      <c r="O262" s="22">
        <f>+MAX(Tabla4[[#This Row],[6KWA]:[9KWA]])</f>
        <v>1.617</v>
      </c>
      <c r="P262" s="3">
        <f t="shared" si="37"/>
        <v>18</v>
      </c>
      <c r="Q262" s="3">
        <f t="shared" si="38"/>
        <v>9</v>
      </c>
      <c r="R262" s="3">
        <f t="shared" si="39"/>
        <v>38</v>
      </c>
      <c r="S262" s="3" t="str">
        <f t="shared" si="40"/>
        <v>septiembre</v>
      </c>
      <c r="T262" s="21">
        <f t="shared" si="41"/>
        <v>565.95000000000005</v>
      </c>
      <c r="U262" s="21">
        <f t="shared" si="42"/>
        <v>527.44999999999993</v>
      </c>
      <c r="V262" s="21">
        <f t="shared" si="43"/>
        <v>528.15</v>
      </c>
      <c r="W262" s="21">
        <f>+Tabla4[[#This Row],[9KWA]]*350</f>
        <v>499.09999999999997</v>
      </c>
      <c r="X262" s="21">
        <f>350*Tabla4[[#This Row],[Max Factor Medido]]</f>
        <v>565.95000000000005</v>
      </c>
      <c r="Y262" s="39">
        <v>0.94</v>
      </c>
      <c r="Z262" s="3">
        <f t="shared" si="44"/>
        <v>2025</v>
      </c>
      <c r="AA262" s="21">
        <f>+MEDIAN(Tabla4[[#This Row],[kwreal 6]:[kwreal 9]])</f>
        <v>527.79999999999995</v>
      </c>
      <c r="AB262" s="21">
        <f>+Tabla4[[#This Row],[LineaBase-FD]]/350</f>
        <v>1.5079999999999998</v>
      </c>
    </row>
    <row r="263" spans="1:28" x14ac:dyDescent="0.3">
      <c r="A263" s="29">
        <v>1335</v>
      </c>
      <c r="B263" s="2">
        <v>422</v>
      </c>
      <c r="C263" s="2">
        <v>165</v>
      </c>
      <c r="D263" s="2">
        <v>684</v>
      </c>
      <c r="E263" s="2">
        <v>62</v>
      </c>
      <c r="F263" s="77">
        <v>1.617</v>
      </c>
      <c r="G263" s="77">
        <v>1.5069999999999999</v>
      </c>
      <c r="H263" s="77">
        <v>1.5089999999999999</v>
      </c>
      <c r="I263" s="77">
        <v>1.4259999999999999</v>
      </c>
      <c r="J263" s="2">
        <v>251</v>
      </c>
      <c r="K263" s="8">
        <v>0.27777777777777779</v>
      </c>
      <c r="L263" s="6">
        <f t="shared" si="36"/>
        <v>45919</v>
      </c>
      <c r="M263" s="2">
        <v>0.99</v>
      </c>
      <c r="N263" s="22">
        <v>1.2350000000000001</v>
      </c>
      <c r="O263" s="22">
        <f>+MAX(Tabla4[[#This Row],[6KWA]:[9KWA]])</f>
        <v>1.617</v>
      </c>
      <c r="P263" s="3">
        <f t="shared" si="37"/>
        <v>19</v>
      </c>
      <c r="Q263" s="3">
        <f t="shared" si="38"/>
        <v>9</v>
      </c>
      <c r="R263" s="3">
        <f t="shared" si="39"/>
        <v>38</v>
      </c>
      <c r="S263" s="3" t="str">
        <f t="shared" si="40"/>
        <v>septiembre</v>
      </c>
      <c r="T263" s="21">
        <f t="shared" si="41"/>
        <v>565.95000000000005</v>
      </c>
      <c r="U263" s="21">
        <f t="shared" si="42"/>
        <v>527.44999999999993</v>
      </c>
      <c r="V263" s="21">
        <f t="shared" si="43"/>
        <v>528.15</v>
      </c>
      <c r="W263" s="21">
        <f>+Tabla4[[#This Row],[9KWA]]*350</f>
        <v>499.09999999999997</v>
      </c>
      <c r="X263" s="21">
        <f>350*Tabla4[[#This Row],[Max Factor Medido]]</f>
        <v>565.95000000000005</v>
      </c>
      <c r="Y263" s="39">
        <v>0.94</v>
      </c>
      <c r="Z263" s="3">
        <f t="shared" si="44"/>
        <v>2025</v>
      </c>
      <c r="AA263" s="21">
        <f>+MEDIAN(Tabla4[[#This Row],[kwreal 6]:[kwreal 9]])</f>
        <v>527.79999999999995</v>
      </c>
      <c r="AB263" s="21">
        <f>+Tabla4[[#This Row],[LineaBase-FD]]/350</f>
        <v>1.5079999999999998</v>
      </c>
    </row>
    <row r="264" spans="1:28" x14ac:dyDescent="0.3">
      <c r="A264" s="28">
        <v>1365</v>
      </c>
      <c r="B264" s="3">
        <v>435</v>
      </c>
      <c r="C264" s="3">
        <v>170</v>
      </c>
      <c r="D264" s="3">
        <v>696</v>
      </c>
      <c r="E264" s="3">
        <v>62</v>
      </c>
      <c r="F264" s="77">
        <v>1.617</v>
      </c>
      <c r="G264" s="77">
        <v>1.5069999999999999</v>
      </c>
      <c r="H264" s="77">
        <v>1.5089999999999999</v>
      </c>
      <c r="I264" s="77">
        <v>1.4259999999999999</v>
      </c>
      <c r="J264" s="3">
        <v>254</v>
      </c>
      <c r="K264" s="16">
        <v>0.28611111111111109</v>
      </c>
      <c r="L264" s="5">
        <f t="shared" si="36"/>
        <v>45920</v>
      </c>
      <c r="M264" s="3">
        <v>0.99</v>
      </c>
      <c r="N264" s="22">
        <v>1.1910000000000001</v>
      </c>
      <c r="O264" s="22">
        <f>+MAX(Tabla4[[#This Row],[6KWA]:[9KWA]])</f>
        <v>1.617</v>
      </c>
      <c r="P264" s="3">
        <f t="shared" si="37"/>
        <v>20</v>
      </c>
      <c r="Q264" s="3">
        <f t="shared" si="38"/>
        <v>9</v>
      </c>
      <c r="R264" s="3">
        <f t="shared" si="39"/>
        <v>38</v>
      </c>
      <c r="S264" s="3" t="str">
        <f t="shared" si="40"/>
        <v>septiembre</v>
      </c>
      <c r="T264" s="21">
        <f t="shared" si="41"/>
        <v>565.95000000000005</v>
      </c>
      <c r="U264" s="21">
        <f t="shared" si="42"/>
        <v>527.44999999999993</v>
      </c>
      <c r="V264" s="21">
        <f t="shared" si="43"/>
        <v>528.15</v>
      </c>
      <c r="W264" s="21">
        <f>+Tabla4[[#This Row],[9KWA]]*350</f>
        <v>499.09999999999997</v>
      </c>
      <c r="X264" s="21">
        <f>350*Tabla4[[#This Row],[Max Factor Medido]]</f>
        <v>565.95000000000005</v>
      </c>
      <c r="Y264" s="39">
        <v>0.94</v>
      </c>
      <c r="Z264" s="3">
        <f t="shared" si="44"/>
        <v>2025</v>
      </c>
      <c r="AA264" s="21">
        <f>+MEDIAN(Tabla4[[#This Row],[kwreal 6]:[kwreal 9]])</f>
        <v>527.79999999999995</v>
      </c>
      <c r="AB264" s="21">
        <f>+Tabla4[[#This Row],[LineaBase-FD]]/350</f>
        <v>1.5079999999999998</v>
      </c>
    </row>
    <row r="265" spans="1:28" x14ac:dyDescent="0.3">
      <c r="A265" s="28">
        <v>1395</v>
      </c>
      <c r="B265" s="3">
        <v>435</v>
      </c>
      <c r="C265" s="3">
        <v>170</v>
      </c>
      <c r="D265" s="3">
        <v>721</v>
      </c>
      <c r="E265" s="3">
        <v>67</v>
      </c>
      <c r="F265" s="77">
        <v>1.617</v>
      </c>
      <c r="G265" s="77">
        <v>1.5069999999999999</v>
      </c>
      <c r="H265" s="77">
        <v>1.5089999999999999</v>
      </c>
      <c r="I265" s="77">
        <v>1.4259999999999999</v>
      </c>
      <c r="J265" s="3">
        <v>258</v>
      </c>
      <c r="K265" s="16">
        <v>0.29166666666666669</v>
      </c>
      <c r="L265" s="5">
        <f t="shared" si="36"/>
        <v>45921</v>
      </c>
      <c r="M265" s="3">
        <v>0.99</v>
      </c>
      <c r="N265" s="22">
        <v>9.82</v>
      </c>
      <c r="O265" s="22">
        <f>+MAX(Tabla4[[#This Row],[6KWA]:[9KWA]])</f>
        <v>1.617</v>
      </c>
      <c r="P265" s="3">
        <f t="shared" si="37"/>
        <v>21</v>
      </c>
      <c r="Q265" s="3">
        <f t="shared" si="38"/>
        <v>9</v>
      </c>
      <c r="R265" s="3">
        <f t="shared" si="39"/>
        <v>39</v>
      </c>
      <c r="S265" s="3" t="str">
        <f t="shared" si="40"/>
        <v>septiembre</v>
      </c>
      <c r="T265" s="21">
        <f t="shared" si="41"/>
        <v>565.95000000000005</v>
      </c>
      <c r="U265" s="21">
        <f t="shared" si="42"/>
        <v>527.44999999999993</v>
      </c>
      <c r="V265" s="21">
        <f t="shared" si="43"/>
        <v>528.15</v>
      </c>
      <c r="W265" s="21">
        <f>+Tabla4[[#This Row],[9KWA]]*350</f>
        <v>499.09999999999997</v>
      </c>
      <c r="X265" s="21">
        <f>350*Tabla4[[#This Row],[Max Factor Medido]]</f>
        <v>565.95000000000005</v>
      </c>
      <c r="Y265" s="39">
        <v>0.94</v>
      </c>
      <c r="Z265" s="3">
        <f t="shared" si="44"/>
        <v>2025</v>
      </c>
      <c r="AA265" s="21">
        <f>+MEDIAN(Tabla4[[#This Row],[kwreal 6]:[kwreal 9]])</f>
        <v>527.79999999999995</v>
      </c>
      <c r="AB265" s="21">
        <f>+Tabla4[[#This Row],[LineaBase-FD]]/350</f>
        <v>1.5079999999999998</v>
      </c>
    </row>
    <row r="266" spans="1:28" x14ac:dyDescent="0.3">
      <c r="A266" s="28">
        <v>1425</v>
      </c>
      <c r="B266" s="3">
        <v>435</v>
      </c>
      <c r="C266" s="3">
        <v>170</v>
      </c>
      <c r="D266" s="3">
        <v>743</v>
      </c>
      <c r="E266" s="3">
        <v>72</v>
      </c>
      <c r="F266" s="77">
        <v>1.617</v>
      </c>
      <c r="G266" s="77">
        <v>1.5069999999999999</v>
      </c>
      <c r="H266" s="77">
        <v>1.5089999999999999</v>
      </c>
      <c r="I266" s="77">
        <v>1.4259999999999999</v>
      </c>
      <c r="J266" s="3">
        <v>261</v>
      </c>
      <c r="K266" s="16">
        <v>0.3</v>
      </c>
      <c r="L266" s="5">
        <f t="shared" si="36"/>
        <v>45922</v>
      </c>
      <c r="M266" s="3">
        <v>0.99</v>
      </c>
      <c r="N266" s="22">
        <v>1.042</v>
      </c>
      <c r="O266" s="22">
        <f>+MAX(Tabla4[[#This Row],[6KWA]:[9KWA]])</f>
        <v>1.617</v>
      </c>
      <c r="P266" s="3">
        <f t="shared" si="37"/>
        <v>22</v>
      </c>
      <c r="Q266" s="3">
        <f t="shared" si="38"/>
        <v>9</v>
      </c>
      <c r="R266" s="3">
        <f t="shared" si="39"/>
        <v>39</v>
      </c>
      <c r="S266" s="3" t="str">
        <f t="shared" si="40"/>
        <v>septiembre</v>
      </c>
      <c r="T266" s="21">
        <f t="shared" si="41"/>
        <v>565.95000000000005</v>
      </c>
      <c r="U266" s="21">
        <f t="shared" si="42"/>
        <v>527.44999999999993</v>
      </c>
      <c r="V266" s="21">
        <f t="shared" si="43"/>
        <v>528.15</v>
      </c>
      <c r="W266" s="21">
        <f>+Tabla4[[#This Row],[9KWA]]*350</f>
        <v>499.09999999999997</v>
      </c>
      <c r="X266" s="21">
        <f>350*Tabla4[[#This Row],[Max Factor Medido]]</f>
        <v>565.95000000000005</v>
      </c>
      <c r="Y266" s="39">
        <v>0.94</v>
      </c>
      <c r="Z266" s="3">
        <f t="shared" si="44"/>
        <v>2025</v>
      </c>
      <c r="AA266" s="21">
        <f>+MEDIAN(Tabla4[[#This Row],[kwreal 6]:[kwreal 9]])</f>
        <v>527.79999999999995</v>
      </c>
      <c r="AB266" s="21">
        <f>+Tabla4[[#This Row],[LineaBase-FD]]/350</f>
        <v>1.5079999999999998</v>
      </c>
    </row>
    <row r="267" spans="1:28" x14ac:dyDescent="0.3">
      <c r="A267" s="28">
        <v>1458</v>
      </c>
      <c r="B267" s="3">
        <v>451</v>
      </c>
      <c r="C267" s="3">
        <v>176</v>
      </c>
      <c r="D267" s="3">
        <v>758</v>
      </c>
      <c r="E267" s="3">
        <v>72</v>
      </c>
      <c r="F267" s="77">
        <v>1.617</v>
      </c>
      <c r="G267" s="77">
        <v>1.5069999999999999</v>
      </c>
      <c r="H267" s="77">
        <v>1.5089999999999999</v>
      </c>
      <c r="I267" s="77">
        <v>1.4259999999999999</v>
      </c>
      <c r="J267" s="3">
        <v>264</v>
      </c>
      <c r="K267" s="16">
        <v>0.43333333333333335</v>
      </c>
      <c r="L267" s="5">
        <f t="shared" si="36"/>
        <v>45923</v>
      </c>
      <c r="M267" s="3">
        <v>0.99</v>
      </c>
      <c r="N267" s="22">
        <v>1.1830000000000001</v>
      </c>
      <c r="O267" s="22">
        <f>+MAX(Tabla4[[#This Row],[6KWA]:[9KWA]])</f>
        <v>1.617</v>
      </c>
      <c r="P267" s="3">
        <f t="shared" si="37"/>
        <v>23</v>
      </c>
      <c r="Q267" s="3">
        <f t="shared" si="38"/>
        <v>9</v>
      </c>
      <c r="R267" s="3">
        <f t="shared" si="39"/>
        <v>39</v>
      </c>
      <c r="S267" s="3" t="str">
        <f t="shared" si="40"/>
        <v>septiembre</v>
      </c>
      <c r="T267" s="21">
        <f t="shared" si="41"/>
        <v>565.95000000000005</v>
      </c>
      <c r="U267" s="21">
        <f t="shared" si="42"/>
        <v>527.44999999999993</v>
      </c>
      <c r="V267" s="21">
        <f t="shared" si="43"/>
        <v>528.15</v>
      </c>
      <c r="W267" s="21">
        <f>+Tabla4[[#This Row],[9KWA]]*350</f>
        <v>499.09999999999997</v>
      </c>
      <c r="X267" s="21">
        <f>350*Tabla4[[#This Row],[Max Factor Medido]]</f>
        <v>565.95000000000005</v>
      </c>
      <c r="Y267" s="39">
        <v>0.94</v>
      </c>
      <c r="Z267" s="3">
        <f t="shared" si="44"/>
        <v>2025</v>
      </c>
      <c r="AA267" s="21">
        <f>+MEDIAN(Tabla4[[#This Row],[kwreal 6]:[kwreal 9]])</f>
        <v>527.79999999999995</v>
      </c>
      <c r="AB267" s="21">
        <f>+Tabla4[[#This Row],[LineaBase-FD]]/350</f>
        <v>1.5079999999999998</v>
      </c>
    </row>
    <row r="268" spans="1:28" x14ac:dyDescent="0.3">
      <c r="A268" s="28">
        <v>1482</v>
      </c>
      <c r="B268" s="3">
        <v>460</v>
      </c>
      <c r="C268" s="3">
        <v>181</v>
      </c>
      <c r="D268" s="3">
        <v>768</v>
      </c>
      <c r="E268" s="3">
        <v>72</v>
      </c>
      <c r="F268" s="77">
        <v>1.617</v>
      </c>
      <c r="G268" s="77">
        <v>1.5069999999999999</v>
      </c>
      <c r="H268" s="77">
        <v>1.5089999999999999</v>
      </c>
      <c r="I268" s="77">
        <v>1.4259999999999999</v>
      </c>
      <c r="J268" s="3">
        <v>267</v>
      </c>
      <c r="K268" s="16">
        <v>0.27013888888888887</v>
      </c>
      <c r="L268" s="5">
        <f t="shared" si="36"/>
        <v>45924</v>
      </c>
      <c r="M268" s="3">
        <v>0.99</v>
      </c>
      <c r="N268" s="22">
        <v>8.98</v>
      </c>
      <c r="O268" s="22">
        <f>+MAX(Tabla4[[#This Row],[6KWA]:[9KWA]])</f>
        <v>1.617</v>
      </c>
      <c r="P268" s="3">
        <f t="shared" si="37"/>
        <v>24</v>
      </c>
      <c r="Q268" s="3">
        <f t="shared" si="38"/>
        <v>9</v>
      </c>
      <c r="R268" s="3">
        <f t="shared" si="39"/>
        <v>39</v>
      </c>
      <c r="S268" s="3" t="str">
        <f t="shared" si="40"/>
        <v>septiembre</v>
      </c>
      <c r="T268" s="21">
        <f t="shared" si="41"/>
        <v>565.95000000000005</v>
      </c>
      <c r="U268" s="21">
        <f t="shared" si="42"/>
        <v>527.44999999999993</v>
      </c>
      <c r="V268" s="21">
        <f t="shared" si="43"/>
        <v>528.15</v>
      </c>
      <c r="W268" s="21">
        <f>+Tabla4[[#This Row],[9KWA]]*350</f>
        <v>499.09999999999997</v>
      </c>
      <c r="X268" s="21">
        <f>350*Tabla4[[#This Row],[Max Factor Medido]]</f>
        <v>565.95000000000005</v>
      </c>
      <c r="Y268" s="39">
        <v>0.94</v>
      </c>
      <c r="Z268" s="3">
        <f t="shared" si="44"/>
        <v>2025</v>
      </c>
      <c r="AA268" s="21">
        <f>+MEDIAN(Tabla4[[#This Row],[kwreal 6]:[kwreal 9]])</f>
        <v>527.79999999999995</v>
      </c>
      <c r="AB268" s="21">
        <f>+Tabla4[[#This Row],[LineaBase-FD]]/350</f>
        <v>1.5079999999999998</v>
      </c>
    </row>
    <row r="269" spans="1:28" x14ac:dyDescent="0.3">
      <c r="A269" s="28">
        <v>1512</v>
      </c>
      <c r="B269" s="3">
        <v>473</v>
      </c>
      <c r="C269" s="3">
        <v>186</v>
      </c>
      <c r="D269" s="3">
        <v>779</v>
      </c>
      <c r="E269" s="3">
        <v>72</v>
      </c>
      <c r="F269" s="77">
        <v>1.617</v>
      </c>
      <c r="G269" s="77">
        <v>1.5069999999999999</v>
      </c>
      <c r="H269" s="77">
        <v>1.5089999999999999</v>
      </c>
      <c r="I269" s="77">
        <v>1.4259999999999999</v>
      </c>
      <c r="J269" s="3">
        <v>269</v>
      </c>
      <c r="K269" s="16">
        <v>0.27500000000000002</v>
      </c>
      <c r="L269" s="5">
        <f t="shared" si="36"/>
        <v>45925</v>
      </c>
      <c r="M269" s="3">
        <v>0.99</v>
      </c>
      <c r="N269" s="22">
        <v>1.165</v>
      </c>
      <c r="O269" s="22">
        <f>+MAX(Tabla4[[#This Row],[6KWA]:[9KWA]])</f>
        <v>1.617</v>
      </c>
      <c r="P269" s="3">
        <f t="shared" si="37"/>
        <v>25</v>
      </c>
      <c r="Q269" s="3">
        <f t="shared" si="38"/>
        <v>9</v>
      </c>
      <c r="R269" s="3">
        <f t="shared" si="39"/>
        <v>39</v>
      </c>
      <c r="S269" s="3" t="str">
        <f t="shared" si="40"/>
        <v>septiembre</v>
      </c>
      <c r="T269" s="21">
        <f t="shared" si="41"/>
        <v>565.95000000000005</v>
      </c>
      <c r="U269" s="21">
        <f t="shared" si="42"/>
        <v>527.44999999999993</v>
      </c>
      <c r="V269" s="21">
        <f t="shared" si="43"/>
        <v>528.15</v>
      </c>
      <c r="W269" s="21">
        <f>+Tabla4[[#This Row],[9KWA]]*350</f>
        <v>499.09999999999997</v>
      </c>
      <c r="X269" s="21">
        <f>350*Tabla4[[#This Row],[Max Factor Medido]]</f>
        <v>565.95000000000005</v>
      </c>
      <c r="Y269" s="39">
        <v>0.94</v>
      </c>
      <c r="Z269" s="3">
        <f t="shared" si="44"/>
        <v>2025</v>
      </c>
      <c r="AA269" s="21">
        <f>+MEDIAN(Tabla4[[#This Row],[kwreal 6]:[kwreal 9]])</f>
        <v>527.79999999999995</v>
      </c>
      <c r="AB269" s="21">
        <f>+Tabla4[[#This Row],[LineaBase-FD]]/350</f>
        <v>1.5079999999999998</v>
      </c>
    </row>
    <row r="270" spans="1:28" x14ac:dyDescent="0.3">
      <c r="A270" s="28">
        <v>1543</v>
      </c>
      <c r="B270" s="3">
        <v>486</v>
      </c>
      <c r="C270" s="3">
        <v>191</v>
      </c>
      <c r="D270" s="3">
        <v>792</v>
      </c>
      <c r="E270" s="3">
        <v>72</v>
      </c>
      <c r="F270" s="77">
        <v>1.617</v>
      </c>
      <c r="G270" s="77">
        <v>1.5069999999999999</v>
      </c>
      <c r="H270" s="77">
        <v>1.5089999999999999</v>
      </c>
      <c r="I270" s="77">
        <v>1.4259999999999999</v>
      </c>
      <c r="J270" s="3">
        <v>273</v>
      </c>
      <c r="K270" s="16">
        <v>0.34027777777777779</v>
      </c>
      <c r="L270" s="5">
        <f t="shared" si="36"/>
        <v>45926</v>
      </c>
      <c r="M270" s="3">
        <v>0.99</v>
      </c>
      <c r="N270" s="22">
        <v>1.151</v>
      </c>
      <c r="O270" s="22">
        <f>+MAX(Tabla4[[#This Row],[6KWA]:[9KWA]])</f>
        <v>1.617</v>
      </c>
      <c r="P270" s="3">
        <f t="shared" si="37"/>
        <v>26</v>
      </c>
      <c r="Q270" s="3">
        <f t="shared" si="38"/>
        <v>9</v>
      </c>
      <c r="R270" s="3">
        <f t="shared" si="39"/>
        <v>39</v>
      </c>
      <c r="S270" s="3" t="str">
        <f t="shared" si="40"/>
        <v>septiembre</v>
      </c>
      <c r="T270" s="21">
        <f t="shared" si="41"/>
        <v>565.95000000000005</v>
      </c>
      <c r="U270" s="21">
        <f t="shared" si="42"/>
        <v>527.44999999999993</v>
      </c>
      <c r="V270" s="21">
        <f t="shared" si="43"/>
        <v>528.15</v>
      </c>
      <c r="W270" s="21">
        <f>+Tabla4[[#This Row],[9KWA]]*350</f>
        <v>499.09999999999997</v>
      </c>
      <c r="X270" s="21">
        <f>350*Tabla4[[#This Row],[Max Factor Medido]]</f>
        <v>565.95000000000005</v>
      </c>
      <c r="Y270" s="39">
        <v>0.94</v>
      </c>
      <c r="Z270" s="3">
        <f t="shared" si="44"/>
        <v>2025</v>
      </c>
      <c r="AA270" s="21">
        <f>+MEDIAN(Tabla4[[#This Row],[kwreal 6]:[kwreal 9]])</f>
        <v>527.79999999999995</v>
      </c>
      <c r="AB270" s="21">
        <f>+Tabla4[[#This Row],[LineaBase-FD]]/350</f>
        <v>1.5079999999999998</v>
      </c>
    </row>
    <row r="271" spans="1:28" x14ac:dyDescent="0.3">
      <c r="A271" s="28">
        <v>1571</v>
      </c>
      <c r="B271" s="3">
        <v>499</v>
      </c>
      <c r="C271" s="3">
        <v>196</v>
      </c>
      <c r="D271" s="3">
        <v>802</v>
      </c>
      <c r="E271" s="3">
        <v>72</v>
      </c>
      <c r="F271" s="77">
        <v>1.617</v>
      </c>
      <c r="G271" s="77">
        <v>1.5069999999999999</v>
      </c>
      <c r="H271" s="77">
        <v>1.5089999999999999</v>
      </c>
      <c r="I271" s="77">
        <v>1.4259999999999999</v>
      </c>
      <c r="J271" s="3">
        <v>277</v>
      </c>
      <c r="K271" s="16">
        <v>0.27361111111111114</v>
      </c>
      <c r="L271" s="5">
        <f t="shared" si="36"/>
        <v>45927</v>
      </c>
      <c r="M271" s="3">
        <v>0.99</v>
      </c>
      <c r="N271" s="22">
        <v>9.92</v>
      </c>
      <c r="O271" s="22">
        <f>+MAX(Tabla4[[#This Row],[6KWA]:[9KWA]])</f>
        <v>1.617</v>
      </c>
      <c r="P271" s="3">
        <f t="shared" si="37"/>
        <v>27</v>
      </c>
      <c r="Q271" s="3">
        <f t="shared" si="38"/>
        <v>9</v>
      </c>
      <c r="R271" s="3">
        <f t="shared" si="39"/>
        <v>39</v>
      </c>
      <c r="S271" s="3" t="str">
        <f t="shared" si="40"/>
        <v>septiembre</v>
      </c>
      <c r="T271" s="21">
        <f t="shared" si="41"/>
        <v>565.95000000000005</v>
      </c>
      <c r="U271" s="21">
        <f t="shared" si="42"/>
        <v>527.44999999999993</v>
      </c>
      <c r="V271" s="21">
        <f t="shared" si="43"/>
        <v>528.15</v>
      </c>
      <c r="W271" s="21">
        <f>+Tabla4[[#This Row],[9KWA]]*350</f>
        <v>499.09999999999997</v>
      </c>
      <c r="X271" s="21">
        <f>350*Tabla4[[#This Row],[Max Factor Medido]]</f>
        <v>565.95000000000005</v>
      </c>
      <c r="Y271" s="39">
        <v>0.94</v>
      </c>
      <c r="Z271" s="3">
        <f t="shared" si="44"/>
        <v>2025</v>
      </c>
      <c r="AA271" s="21">
        <f>+MEDIAN(Tabla4[[#This Row],[kwreal 6]:[kwreal 9]])</f>
        <v>527.79999999999995</v>
      </c>
      <c r="AB271" s="21">
        <f>+Tabla4[[#This Row],[LineaBase-FD]]/350</f>
        <v>1.5079999999999998</v>
      </c>
    </row>
    <row r="272" spans="1:28" x14ac:dyDescent="0.3">
      <c r="A272" s="28">
        <v>1600</v>
      </c>
      <c r="B272" s="3">
        <v>499</v>
      </c>
      <c r="C272" s="3">
        <v>196</v>
      </c>
      <c r="D272" s="3">
        <v>827</v>
      </c>
      <c r="E272" s="3">
        <v>77</v>
      </c>
      <c r="F272" s="77">
        <v>1.617</v>
      </c>
      <c r="G272" s="77">
        <v>1.5069999999999999</v>
      </c>
      <c r="H272" s="77">
        <v>1.5089999999999999</v>
      </c>
      <c r="I272" s="77">
        <v>1.4259999999999999</v>
      </c>
      <c r="J272" s="3">
        <v>280</v>
      </c>
      <c r="K272" s="16">
        <v>0.27500000000000002</v>
      </c>
      <c r="L272" s="5">
        <f t="shared" si="36"/>
        <v>45928</v>
      </c>
      <c r="M272" s="3">
        <v>0.99</v>
      </c>
      <c r="N272" s="22">
        <v>1.054</v>
      </c>
      <c r="O272" s="22">
        <f>+MAX(Tabla4[[#This Row],[6KWA]:[9KWA]])</f>
        <v>1.617</v>
      </c>
      <c r="P272" s="3">
        <f t="shared" si="37"/>
        <v>28</v>
      </c>
      <c r="Q272" s="3">
        <f t="shared" si="38"/>
        <v>9</v>
      </c>
      <c r="R272" s="3">
        <f t="shared" si="39"/>
        <v>40</v>
      </c>
      <c r="S272" s="3" t="str">
        <f t="shared" si="40"/>
        <v>septiembre</v>
      </c>
      <c r="T272" s="21">
        <f t="shared" si="41"/>
        <v>565.95000000000005</v>
      </c>
      <c r="U272" s="21">
        <f t="shared" si="42"/>
        <v>527.44999999999993</v>
      </c>
      <c r="V272" s="21">
        <f t="shared" si="43"/>
        <v>528.15</v>
      </c>
      <c r="W272" s="21">
        <f>+Tabla4[[#This Row],[9KWA]]*350</f>
        <v>499.09999999999997</v>
      </c>
      <c r="X272" s="21">
        <f>350*Tabla4[[#This Row],[Max Factor Medido]]</f>
        <v>565.95000000000005</v>
      </c>
      <c r="Y272" s="39">
        <v>0.94</v>
      </c>
      <c r="Z272" s="3">
        <f t="shared" si="44"/>
        <v>2025</v>
      </c>
      <c r="AA272" s="21">
        <f>+MEDIAN(Tabla4[[#This Row],[kwreal 6]:[kwreal 9]])</f>
        <v>527.79999999999995</v>
      </c>
      <c r="AB272" s="21">
        <f>+Tabla4[[#This Row],[LineaBase-FD]]/350</f>
        <v>1.5079999999999998</v>
      </c>
    </row>
    <row r="273" spans="1:28" x14ac:dyDescent="0.3">
      <c r="A273" s="28">
        <v>1628</v>
      </c>
      <c r="B273" s="3">
        <v>499</v>
      </c>
      <c r="C273" s="3">
        <v>196</v>
      </c>
      <c r="D273" s="3">
        <v>850</v>
      </c>
      <c r="E273" s="3">
        <v>82</v>
      </c>
      <c r="F273" s="77">
        <v>1.617</v>
      </c>
      <c r="G273" s="77">
        <v>1.5069999999999999</v>
      </c>
      <c r="H273" s="77">
        <v>1.5089999999999999</v>
      </c>
      <c r="I273" s="77">
        <v>1.4259999999999999</v>
      </c>
      <c r="J273" s="3">
        <v>283</v>
      </c>
      <c r="K273" s="16">
        <v>0.27569444444444446</v>
      </c>
      <c r="L273" s="5">
        <f t="shared" si="36"/>
        <v>45929</v>
      </c>
      <c r="M273" s="3">
        <v>0.99</v>
      </c>
      <c r="N273" s="22">
        <v>1.173</v>
      </c>
      <c r="O273" s="22">
        <f>+MAX(Tabla4[[#This Row],[6KWA]:[9KWA]])</f>
        <v>1.617</v>
      </c>
      <c r="P273" s="3">
        <f t="shared" si="37"/>
        <v>29</v>
      </c>
      <c r="Q273" s="3">
        <f t="shared" si="38"/>
        <v>9</v>
      </c>
      <c r="R273" s="3">
        <f t="shared" si="39"/>
        <v>40</v>
      </c>
      <c r="S273" s="3" t="str">
        <f t="shared" si="40"/>
        <v>septiembre</v>
      </c>
      <c r="T273" s="21">
        <f t="shared" si="41"/>
        <v>565.95000000000005</v>
      </c>
      <c r="U273" s="21">
        <f t="shared" si="42"/>
        <v>527.44999999999993</v>
      </c>
      <c r="V273" s="21">
        <f t="shared" si="43"/>
        <v>528.15</v>
      </c>
      <c r="W273" s="21">
        <f>+Tabla4[[#This Row],[9KWA]]*350</f>
        <v>499.09999999999997</v>
      </c>
      <c r="X273" s="21">
        <f>350*Tabla4[[#This Row],[Max Factor Medido]]</f>
        <v>565.95000000000005</v>
      </c>
      <c r="Y273" s="39">
        <v>0.94</v>
      </c>
      <c r="Z273" s="3">
        <f t="shared" si="44"/>
        <v>2025</v>
      </c>
      <c r="AA273" s="21">
        <f>+MEDIAN(Tabla4[[#This Row],[kwreal 6]:[kwreal 9]])</f>
        <v>527.79999999999995</v>
      </c>
      <c r="AB273" s="21">
        <f>+Tabla4[[#This Row],[LineaBase-FD]]/350</f>
        <v>1.5079999999999998</v>
      </c>
    </row>
    <row r="274" spans="1:28" x14ac:dyDescent="0.3">
      <c r="A274" s="28">
        <v>1657</v>
      </c>
      <c r="B274" s="3">
        <v>512</v>
      </c>
      <c r="C274" s="3">
        <v>201</v>
      </c>
      <c r="D274" s="3">
        <v>861</v>
      </c>
      <c r="E274" s="3">
        <v>82</v>
      </c>
      <c r="F274" s="77">
        <v>1.617</v>
      </c>
      <c r="G274" s="77">
        <v>1.5069999999999999</v>
      </c>
      <c r="H274" s="77">
        <v>1.5089999999999999</v>
      </c>
      <c r="I274" s="77">
        <v>1.4259999999999999</v>
      </c>
      <c r="J274" s="3">
        <v>287</v>
      </c>
      <c r="K274" s="16">
        <v>0.27361111111111114</v>
      </c>
      <c r="L274" s="5">
        <f t="shared" si="36"/>
        <v>45930</v>
      </c>
      <c r="M274" s="3">
        <v>0.99</v>
      </c>
      <c r="N274" s="22">
        <v>1.07</v>
      </c>
      <c r="O274" s="22">
        <f>+MAX(Tabla4[[#This Row],[6KWA]:[9KWA]])</f>
        <v>1.617</v>
      </c>
      <c r="P274" s="3">
        <f t="shared" si="37"/>
        <v>30</v>
      </c>
      <c r="Q274" s="3">
        <f t="shared" si="38"/>
        <v>9</v>
      </c>
      <c r="R274" s="3">
        <f t="shared" si="39"/>
        <v>40</v>
      </c>
      <c r="S274" s="3" t="str">
        <f t="shared" si="40"/>
        <v>septiembre</v>
      </c>
      <c r="T274" s="21">
        <f t="shared" si="41"/>
        <v>565.95000000000005</v>
      </c>
      <c r="U274" s="21">
        <f t="shared" si="42"/>
        <v>527.44999999999993</v>
      </c>
      <c r="V274" s="21">
        <f t="shared" si="43"/>
        <v>528.15</v>
      </c>
      <c r="W274" s="21">
        <f>+Tabla4[[#This Row],[9KWA]]*350</f>
        <v>499.09999999999997</v>
      </c>
      <c r="X274" s="21">
        <f>350*Tabla4[[#This Row],[Max Factor Medido]]</f>
        <v>565.95000000000005</v>
      </c>
      <c r="Y274" s="39">
        <v>0.94</v>
      </c>
      <c r="Z274" s="3">
        <f t="shared" si="44"/>
        <v>2025</v>
      </c>
      <c r="AA274" s="21">
        <f>+MEDIAN(Tabla4[[#This Row],[kwreal 6]:[kwreal 9]])</f>
        <v>527.79999999999995</v>
      </c>
      <c r="AB274" s="21">
        <f>+Tabla4[[#This Row],[LineaBase-FD]]/350</f>
        <v>1.5079999999999998</v>
      </c>
    </row>
    <row r="275" spans="1:28" x14ac:dyDescent="0.3">
      <c r="A275" s="28">
        <v>1687</v>
      </c>
      <c r="B275" s="3">
        <v>525</v>
      </c>
      <c r="C275" s="3">
        <v>206</v>
      </c>
      <c r="D275" s="3">
        <v>873</v>
      </c>
      <c r="E275" s="3">
        <v>82</v>
      </c>
      <c r="F275" s="77">
        <v>0</v>
      </c>
      <c r="G275" s="77">
        <v>0</v>
      </c>
      <c r="H275" s="77">
        <v>1.26</v>
      </c>
      <c r="I275" s="77">
        <v>0</v>
      </c>
      <c r="J275" s="3">
        <v>290</v>
      </c>
      <c r="K275" s="16">
        <v>0.27500000000000002</v>
      </c>
      <c r="L275" s="5">
        <v>45931</v>
      </c>
      <c r="M275" s="17">
        <v>0.99</v>
      </c>
      <c r="N275" s="22">
        <v>1.302</v>
      </c>
      <c r="O275" s="22">
        <f>+MAX(Tabla4[[#This Row],[6KWA]:[9KWA]])</f>
        <v>1.26</v>
      </c>
      <c r="P275" s="3">
        <f t="shared" si="37"/>
        <v>1</v>
      </c>
      <c r="Q275" s="3">
        <f t="shared" si="38"/>
        <v>10</v>
      </c>
      <c r="R275" s="3">
        <f t="shared" si="39"/>
        <v>40</v>
      </c>
      <c r="S275" s="3" t="str">
        <f t="shared" si="40"/>
        <v>octubre</v>
      </c>
      <c r="T275" s="21">
        <f t="shared" si="41"/>
        <v>0</v>
      </c>
      <c r="U275" s="21">
        <f t="shared" si="42"/>
        <v>0</v>
      </c>
      <c r="V275" s="21">
        <f t="shared" si="43"/>
        <v>441</v>
      </c>
      <c r="W275" s="21">
        <f>+Tabla4[[#This Row],[9KWA]]*350</f>
        <v>0</v>
      </c>
      <c r="X275" s="21">
        <f>350*Tabla4[[#This Row],[Max Factor Medido]]</f>
        <v>441</v>
      </c>
      <c r="Y275" s="39">
        <v>0.94</v>
      </c>
      <c r="Z275" s="3">
        <f t="shared" si="44"/>
        <v>2025</v>
      </c>
      <c r="AA275" s="21">
        <f>+MEDIAN(Tabla4[[#This Row],[kwreal 6]:[kwreal 9]])</f>
        <v>0</v>
      </c>
      <c r="AB275" s="21">
        <f>+Tabla4[[#This Row],[LineaBase-FD]]/350</f>
        <v>0</v>
      </c>
    </row>
    <row r="276" spans="1:28" x14ac:dyDescent="0.3">
      <c r="A276" s="29">
        <v>1717</v>
      </c>
      <c r="B276" s="2">
        <v>538</v>
      </c>
      <c r="C276" s="2">
        <v>211</v>
      </c>
      <c r="D276" s="2">
        <v>885</v>
      </c>
      <c r="E276" s="2">
        <v>82</v>
      </c>
      <c r="F276" s="77">
        <v>1.484</v>
      </c>
      <c r="G276" s="77">
        <v>1.4279999999999999</v>
      </c>
      <c r="H276" s="77">
        <v>1.331</v>
      </c>
      <c r="I276" s="77">
        <v>0</v>
      </c>
      <c r="J276" s="2">
        <v>293</v>
      </c>
      <c r="K276" s="8">
        <v>0.28055555555555556</v>
      </c>
      <c r="L276" s="6">
        <f t="shared" ref="L276:L303" si="45">L275+1</f>
        <v>45932</v>
      </c>
      <c r="M276" s="11">
        <v>0.99</v>
      </c>
      <c r="N276" s="22">
        <v>9.98</v>
      </c>
      <c r="O276" s="22">
        <f>+MAX(Tabla4[[#This Row],[6KWA]:[9KWA]])</f>
        <v>1.484</v>
      </c>
      <c r="P276" s="3">
        <f t="shared" si="37"/>
        <v>2</v>
      </c>
      <c r="Q276" s="3">
        <f t="shared" si="38"/>
        <v>10</v>
      </c>
      <c r="R276" s="3">
        <f t="shared" si="39"/>
        <v>40</v>
      </c>
      <c r="S276" s="3" t="str">
        <f t="shared" si="40"/>
        <v>octubre</v>
      </c>
      <c r="T276" s="21">
        <f t="shared" si="41"/>
        <v>519.4</v>
      </c>
      <c r="U276" s="21">
        <f t="shared" si="42"/>
        <v>499.79999999999995</v>
      </c>
      <c r="V276" s="21">
        <f t="shared" si="43"/>
        <v>465.84999999999997</v>
      </c>
      <c r="W276" s="21">
        <f>+Tabla4[[#This Row],[9KWA]]*350</f>
        <v>0</v>
      </c>
      <c r="X276" s="21">
        <f>350*Tabla4[[#This Row],[Max Factor Medido]]</f>
        <v>519.4</v>
      </c>
      <c r="Y276" s="39">
        <v>0.94</v>
      </c>
      <c r="Z276" s="3">
        <f t="shared" si="44"/>
        <v>2025</v>
      </c>
      <c r="AA276" s="21">
        <f>+MEDIAN(Tabla4[[#This Row],[kwreal 6]:[kwreal 9]])</f>
        <v>482.82499999999993</v>
      </c>
      <c r="AB276" s="21">
        <f>+Tabla4[[#This Row],[LineaBase-FD]]/350</f>
        <v>1.3794999999999997</v>
      </c>
    </row>
    <row r="277" spans="1:28" x14ac:dyDescent="0.3">
      <c r="A277" s="28">
        <v>1746</v>
      </c>
      <c r="B277" s="3">
        <v>551</v>
      </c>
      <c r="C277" s="3">
        <v>216</v>
      </c>
      <c r="D277" s="3">
        <v>896</v>
      </c>
      <c r="E277" s="3">
        <v>82</v>
      </c>
      <c r="F277" s="77">
        <v>1.484</v>
      </c>
      <c r="G277" s="77">
        <v>1.4470000000000001</v>
      </c>
      <c r="H277" s="77">
        <v>1.331</v>
      </c>
      <c r="I277" s="77">
        <v>0</v>
      </c>
      <c r="J277" s="3">
        <v>295</v>
      </c>
      <c r="K277" s="16">
        <v>0.29375000000000001</v>
      </c>
      <c r="L277" s="5">
        <f t="shared" si="45"/>
        <v>45933</v>
      </c>
      <c r="M277" s="17">
        <v>0.99</v>
      </c>
      <c r="N277" s="22">
        <v>1.087</v>
      </c>
      <c r="O277" s="22">
        <f>+MAX(Tabla4[[#This Row],[6KWA]:[9KWA]])</f>
        <v>1.484</v>
      </c>
      <c r="P277" s="3">
        <f t="shared" si="37"/>
        <v>3</v>
      </c>
      <c r="Q277" s="3">
        <f t="shared" si="38"/>
        <v>10</v>
      </c>
      <c r="R277" s="3">
        <f t="shared" si="39"/>
        <v>40</v>
      </c>
      <c r="S277" s="3" t="str">
        <f t="shared" si="40"/>
        <v>octubre</v>
      </c>
      <c r="T277" s="21">
        <f t="shared" si="41"/>
        <v>519.4</v>
      </c>
      <c r="U277" s="21">
        <f t="shared" si="42"/>
        <v>506.45000000000005</v>
      </c>
      <c r="V277" s="21">
        <f t="shared" si="43"/>
        <v>465.84999999999997</v>
      </c>
      <c r="W277" s="21">
        <f>+Tabla4[[#This Row],[9KWA]]*350</f>
        <v>0</v>
      </c>
      <c r="X277" s="21">
        <f>350*Tabla4[[#This Row],[Max Factor Medido]]</f>
        <v>519.4</v>
      </c>
      <c r="Y277" s="39">
        <v>0.94</v>
      </c>
      <c r="Z277" s="3">
        <f t="shared" si="44"/>
        <v>2025</v>
      </c>
      <c r="AA277" s="21">
        <f>+MEDIAN(Tabla4[[#This Row],[kwreal 6]:[kwreal 9]])</f>
        <v>486.15</v>
      </c>
      <c r="AB277" s="21">
        <f>+Tabla4[[#This Row],[LineaBase-FD]]/350</f>
        <v>1.389</v>
      </c>
    </row>
    <row r="278" spans="1:28" x14ac:dyDescent="0.3">
      <c r="A278" s="29">
        <v>1775</v>
      </c>
      <c r="B278" s="2">
        <v>563</v>
      </c>
      <c r="C278" s="2">
        <v>221</v>
      </c>
      <c r="D278" s="2">
        <v>907</v>
      </c>
      <c r="E278" s="2">
        <v>82</v>
      </c>
      <c r="F278" s="77">
        <v>1.484</v>
      </c>
      <c r="G278" s="77">
        <v>1.4470000000000001</v>
      </c>
      <c r="H278" s="77">
        <v>1.331</v>
      </c>
      <c r="I278" s="77">
        <v>0</v>
      </c>
      <c r="J278" s="2">
        <v>299</v>
      </c>
      <c r="K278" s="8">
        <v>0.27152777777777776</v>
      </c>
      <c r="L278" s="6">
        <f t="shared" si="45"/>
        <v>45934</v>
      </c>
      <c r="M278" s="11">
        <v>0.99</v>
      </c>
      <c r="N278" s="22">
        <v>1.2629999999999999</v>
      </c>
      <c r="O278" s="22">
        <f>+MAX(Tabla4[[#This Row],[6KWA]:[9KWA]])</f>
        <v>1.484</v>
      </c>
      <c r="P278" s="3">
        <f t="shared" si="37"/>
        <v>4</v>
      </c>
      <c r="Q278" s="3">
        <f t="shared" si="38"/>
        <v>10</v>
      </c>
      <c r="R278" s="3">
        <f t="shared" si="39"/>
        <v>40</v>
      </c>
      <c r="S278" s="3" t="str">
        <f t="shared" si="40"/>
        <v>octubre</v>
      </c>
      <c r="T278" s="21">
        <f t="shared" si="41"/>
        <v>519.4</v>
      </c>
      <c r="U278" s="21">
        <f t="shared" si="42"/>
        <v>506.45000000000005</v>
      </c>
      <c r="V278" s="21">
        <f t="shared" si="43"/>
        <v>465.84999999999997</v>
      </c>
      <c r="W278" s="21">
        <f>+Tabla4[[#This Row],[9KWA]]*350</f>
        <v>0</v>
      </c>
      <c r="X278" s="21">
        <f>350*Tabla4[[#This Row],[Max Factor Medido]]</f>
        <v>519.4</v>
      </c>
      <c r="Y278" s="39">
        <v>0.94</v>
      </c>
      <c r="Z278" s="3">
        <f t="shared" si="44"/>
        <v>2025</v>
      </c>
      <c r="AA278" s="21">
        <f>+MEDIAN(Tabla4[[#This Row],[kwreal 6]:[kwreal 9]])</f>
        <v>486.15</v>
      </c>
      <c r="AB278" s="21">
        <f>+Tabla4[[#This Row],[LineaBase-FD]]/350</f>
        <v>1.389</v>
      </c>
    </row>
    <row r="279" spans="1:28" x14ac:dyDescent="0.3">
      <c r="A279" s="29">
        <v>1805</v>
      </c>
      <c r="B279" s="2">
        <v>563</v>
      </c>
      <c r="C279" s="2">
        <v>221</v>
      </c>
      <c r="D279" s="2">
        <v>932</v>
      </c>
      <c r="E279" s="2">
        <v>87</v>
      </c>
      <c r="F279" s="77">
        <v>1.484</v>
      </c>
      <c r="G279" s="77">
        <v>1.4470000000000001</v>
      </c>
      <c r="H279" s="77">
        <v>1.419</v>
      </c>
      <c r="I279" s="77">
        <v>1.3460000000000001</v>
      </c>
      <c r="J279" s="2">
        <v>302</v>
      </c>
      <c r="K279" s="8">
        <v>0.2722222222222222</v>
      </c>
      <c r="L279" s="6">
        <f t="shared" si="45"/>
        <v>45935</v>
      </c>
      <c r="M279" s="11">
        <v>0.99</v>
      </c>
      <c r="N279" s="22">
        <v>1.129</v>
      </c>
      <c r="O279" s="22">
        <f>+MAX(Tabla4[[#This Row],[6KWA]:[9KWA]])</f>
        <v>1.484</v>
      </c>
      <c r="P279" s="3">
        <f t="shared" si="37"/>
        <v>5</v>
      </c>
      <c r="Q279" s="3">
        <f t="shared" si="38"/>
        <v>10</v>
      </c>
      <c r="R279" s="3">
        <f t="shared" si="39"/>
        <v>41</v>
      </c>
      <c r="S279" s="3" t="str">
        <f t="shared" si="40"/>
        <v>octubre</v>
      </c>
      <c r="T279" s="21">
        <f t="shared" si="41"/>
        <v>519.4</v>
      </c>
      <c r="U279" s="21">
        <f t="shared" si="42"/>
        <v>506.45000000000005</v>
      </c>
      <c r="V279" s="21">
        <f t="shared" si="43"/>
        <v>496.65000000000003</v>
      </c>
      <c r="W279" s="21">
        <f>+Tabla4[[#This Row],[9KWA]]*350</f>
        <v>471.1</v>
      </c>
      <c r="X279" s="21">
        <f>350*Tabla4[[#This Row],[Max Factor Medido]]</f>
        <v>519.4</v>
      </c>
      <c r="Y279" s="39">
        <v>0.94</v>
      </c>
      <c r="Z279" s="3">
        <f t="shared" si="44"/>
        <v>2025</v>
      </c>
      <c r="AA279" s="21">
        <f>+MEDIAN(Tabla4[[#This Row],[kwreal 6]:[kwreal 9]])</f>
        <v>501.55000000000007</v>
      </c>
      <c r="AB279" s="21">
        <f>+Tabla4[[#This Row],[LineaBase-FD]]/350</f>
        <v>1.4330000000000003</v>
      </c>
    </row>
    <row r="280" spans="1:28" x14ac:dyDescent="0.3">
      <c r="A280" s="28">
        <v>1834</v>
      </c>
      <c r="B280" s="3">
        <v>563</v>
      </c>
      <c r="C280" s="3">
        <v>221</v>
      </c>
      <c r="D280" s="3">
        <v>957</v>
      </c>
      <c r="E280" s="3">
        <v>91</v>
      </c>
      <c r="F280" s="77">
        <v>1.484</v>
      </c>
      <c r="G280" s="77">
        <v>1.4470000000000001</v>
      </c>
      <c r="H280" s="77">
        <v>1.4279999999999999</v>
      </c>
      <c r="I280" s="77">
        <v>1.355</v>
      </c>
      <c r="J280" s="3">
        <v>305</v>
      </c>
      <c r="K280" s="16">
        <v>0.29930555555555555</v>
      </c>
      <c r="L280" s="5">
        <f t="shared" si="45"/>
        <v>45936</v>
      </c>
      <c r="M280" s="17">
        <v>0.98</v>
      </c>
      <c r="N280" s="22">
        <v>1.137</v>
      </c>
      <c r="O280" s="22">
        <f>+MAX(Tabla4[[#This Row],[6KWA]:[9KWA]])</f>
        <v>1.484</v>
      </c>
      <c r="P280" s="3">
        <f t="shared" si="37"/>
        <v>6</v>
      </c>
      <c r="Q280" s="3">
        <f t="shared" si="38"/>
        <v>10</v>
      </c>
      <c r="R280" s="3">
        <f t="shared" si="39"/>
        <v>41</v>
      </c>
      <c r="S280" s="3" t="str">
        <f t="shared" si="40"/>
        <v>octubre</v>
      </c>
      <c r="T280" s="21">
        <f t="shared" si="41"/>
        <v>519.4</v>
      </c>
      <c r="U280" s="21">
        <f t="shared" si="42"/>
        <v>506.45000000000005</v>
      </c>
      <c r="V280" s="21">
        <f t="shared" si="43"/>
        <v>499.79999999999995</v>
      </c>
      <c r="W280" s="21">
        <f>+Tabla4[[#This Row],[9KWA]]*350</f>
        <v>474.25</v>
      </c>
      <c r="X280" s="21">
        <f>350*Tabla4[[#This Row],[Max Factor Medido]]</f>
        <v>519.4</v>
      </c>
      <c r="Y280" s="39">
        <v>0.94</v>
      </c>
      <c r="Z280" s="3">
        <f t="shared" si="44"/>
        <v>2025</v>
      </c>
      <c r="AA280" s="21">
        <f>+MEDIAN(Tabla4[[#This Row],[kwreal 6]:[kwreal 9]])</f>
        <v>503.125</v>
      </c>
      <c r="AB280" s="21">
        <f>+Tabla4[[#This Row],[LineaBase-FD]]/350</f>
        <v>1.4375</v>
      </c>
    </row>
    <row r="281" spans="1:28" x14ac:dyDescent="0.3">
      <c r="A281" s="28">
        <v>1863</v>
      </c>
      <c r="B281" s="3">
        <v>576</v>
      </c>
      <c r="C281" s="3">
        <v>226</v>
      </c>
      <c r="D281" s="3">
        <v>968</v>
      </c>
      <c r="E281" s="3">
        <v>91</v>
      </c>
      <c r="F281" s="77">
        <v>1.484</v>
      </c>
      <c r="G281" s="77">
        <v>1.4470000000000001</v>
      </c>
      <c r="H281" s="77">
        <v>1.4279999999999999</v>
      </c>
      <c r="I281" s="77">
        <v>1.355</v>
      </c>
      <c r="J281" s="3">
        <v>305</v>
      </c>
      <c r="K281" s="16">
        <v>0.30486111111111114</v>
      </c>
      <c r="L281" s="5">
        <f t="shared" si="45"/>
        <v>45937</v>
      </c>
      <c r="M281" s="17">
        <v>0.99</v>
      </c>
      <c r="N281" s="22">
        <v>1.016</v>
      </c>
      <c r="O281" s="22">
        <f>+MAX(Tabla4[[#This Row],[6KWA]:[9KWA]])</f>
        <v>1.484</v>
      </c>
      <c r="P281" s="3">
        <f t="shared" si="37"/>
        <v>7</v>
      </c>
      <c r="Q281" s="3">
        <f t="shared" si="38"/>
        <v>10</v>
      </c>
      <c r="R281" s="3">
        <f t="shared" si="39"/>
        <v>41</v>
      </c>
      <c r="S281" s="3" t="str">
        <f t="shared" si="40"/>
        <v>octubre</v>
      </c>
      <c r="T281" s="21">
        <f t="shared" si="41"/>
        <v>519.4</v>
      </c>
      <c r="U281" s="21">
        <f t="shared" si="42"/>
        <v>506.45000000000005</v>
      </c>
      <c r="V281" s="21">
        <f t="shared" si="43"/>
        <v>499.79999999999995</v>
      </c>
      <c r="W281" s="21">
        <f>+Tabla4[[#This Row],[9KWA]]*350</f>
        <v>474.25</v>
      </c>
      <c r="X281" s="21">
        <f>350*Tabla4[[#This Row],[Max Factor Medido]]</f>
        <v>519.4</v>
      </c>
      <c r="Y281" s="39">
        <v>0.94</v>
      </c>
      <c r="Z281" s="3">
        <f t="shared" si="44"/>
        <v>2025</v>
      </c>
      <c r="AA281" s="21">
        <f>+MEDIAN(Tabla4[[#This Row],[kwreal 6]:[kwreal 9]])</f>
        <v>503.125</v>
      </c>
      <c r="AB281" s="21">
        <f>+Tabla4[[#This Row],[LineaBase-FD]]/350</f>
        <v>1.4375</v>
      </c>
    </row>
    <row r="282" spans="1:28" x14ac:dyDescent="0.3">
      <c r="A282" s="28">
        <v>1892</v>
      </c>
      <c r="B282" s="3">
        <v>588</v>
      </c>
      <c r="C282" s="3">
        <v>231</v>
      </c>
      <c r="D282" s="3">
        <v>979</v>
      </c>
      <c r="E282" s="3">
        <v>91</v>
      </c>
      <c r="F282" s="77">
        <v>1.484</v>
      </c>
      <c r="G282" s="77">
        <v>1.4410000000000001</v>
      </c>
      <c r="H282" s="77">
        <v>1.4279999999999999</v>
      </c>
      <c r="I282" s="77">
        <v>1.355</v>
      </c>
      <c r="J282" s="3">
        <v>310</v>
      </c>
      <c r="K282" s="16">
        <v>0.27500000000000002</v>
      </c>
      <c r="L282" s="5">
        <f t="shared" si="45"/>
        <v>45938</v>
      </c>
      <c r="M282" s="17">
        <v>0.99</v>
      </c>
      <c r="N282" s="22">
        <v>1.2290000000000001</v>
      </c>
      <c r="O282" s="22">
        <f>+MAX(Tabla4[[#This Row],[6KWA]:[9KWA]])</f>
        <v>1.484</v>
      </c>
      <c r="P282" s="3">
        <f t="shared" si="37"/>
        <v>8</v>
      </c>
      <c r="Q282" s="3">
        <f t="shared" si="38"/>
        <v>10</v>
      </c>
      <c r="R282" s="3">
        <f t="shared" si="39"/>
        <v>41</v>
      </c>
      <c r="S282" s="3" t="str">
        <f t="shared" si="40"/>
        <v>octubre</v>
      </c>
      <c r="T282" s="21">
        <f t="shared" si="41"/>
        <v>519.4</v>
      </c>
      <c r="U282" s="21">
        <f t="shared" si="42"/>
        <v>504.35</v>
      </c>
      <c r="V282" s="21">
        <f t="shared" si="43"/>
        <v>499.79999999999995</v>
      </c>
      <c r="W282" s="21">
        <f>+Tabla4[[#This Row],[9KWA]]*350</f>
        <v>474.25</v>
      </c>
      <c r="X282" s="21">
        <f>350*Tabla4[[#This Row],[Max Factor Medido]]</f>
        <v>519.4</v>
      </c>
      <c r="Y282" s="39">
        <v>0.94</v>
      </c>
      <c r="Z282" s="3">
        <f t="shared" si="44"/>
        <v>2025</v>
      </c>
      <c r="AA282" s="21">
        <f>+MEDIAN(Tabla4[[#This Row],[kwreal 6]:[kwreal 9]])</f>
        <v>502.07499999999999</v>
      </c>
      <c r="AB282" s="21">
        <f>+Tabla4[[#This Row],[LineaBase-FD]]/350</f>
        <v>1.4344999999999999</v>
      </c>
    </row>
    <row r="283" spans="1:28" x14ac:dyDescent="0.3">
      <c r="A283" s="28">
        <v>1922</v>
      </c>
      <c r="B283" s="3">
        <v>601</v>
      </c>
      <c r="C283" s="3">
        <v>237</v>
      </c>
      <c r="D283" s="3">
        <v>991</v>
      </c>
      <c r="E283" s="3">
        <v>91</v>
      </c>
      <c r="F283" s="77">
        <v>1.484</v>
      </c>
      <c r="G283" s="77">
        <v>1.452</v>
      </c>
      <c r="H283" s="77">
        <v>1.4279999999999999</v>
      </c>
      <c r="I283" s="77">
        <v>1.409</v>
      </c>
      <c r="J283" s="3">
        <v>313</v>
      </c>
      <c r="K283" s="16">
        <v>0.27638888888888891</v>
      </c>
      <c r="L283" s="5">
        <f t="shared" si="45"/>
        <v>45939</v>
      </c>
      <c r="M283" s="17">
        <v>0.99</v>
      </c>
      <c r="N283" s="22">
        <v>1.024</v>
      </c>
      <c r="O283" s="22">
        <f>+MAX(Tabla4[[#This Row],[6KWA]:[9KWA]])</f>
        <v>1.484</v>
      </c>
      <c r="P283" s="3">
        <f t="shared" si="37"/>
        <v>9</v>
      </c>
      <c r="Q283" s="3">
        <f t="shared" si="38"/>
        <v>10</v>
      </c>
      <c r="R283" s="3">
        <f t="shared" si="39"/>
        <v>41</v>
      </c>
      <c r="S283" s="3" t="str">
        <f t="shared" si="40"/>
        <v>octubre</v>
      </c>
      <c r="T283" s="21">
        <f t="shared" si="41"/>
        <v>519.4</v>
      </c>
      <c r="U283" s="21">
        <f t="shared" si="42"/>
        <v>508.2</v>
      </c>
      <c r="V283" s="21">
        <f t="shared" si="43"/>
        <v>499.79999999999995</v>
      </c>
      <c r="W283" s="21">
        <f>+Tabla4[[#This Row],[9KWA]]*350</f>
        <v>493.15000000000003</v>
      </c>
      <c r="X283" s="21">
        <f>350*Tabla4[[#This Row],[Max Factor Medido]]</f>
        <v>519.4</v>
      </c>
      <c r="Y283" s="39">
        <v>0.94</v>
      </c>
      <c r="Z283" s="3">
        <f t="shared" si="44"/>
        <v>2025</v>
      </c>
      <c r="AA283" s="21">
        <f>+MEDIAN(Tabla4[[#This Row],[kwreal 6]:[kwreal 9]])</f>
        <v>504</v>
      </c>
      <c r="AB283" s="21">
        <f>+Tabla4[[#This Row],[LineaBase-FD]]/350</f>
        <v>1.44</v>
      </c>
    </row>
    <row r="284" spans="1:28" x14ac:dyDescent="0.3">
      <c r="A284" s="28">
        <v>1953</v>
      </c>
      <c r="B284" s="3">
        <v>601</v>
      </c>
      <c r="C284" s="3">
        <v>237</v>
      </c>
      <c r="D284" s="3">
        <v>1018</v>
      </c>
      <c r="E284" s="3">
        <v>97</v>
      </c>
      <c r="F284" s="77">
        <v>1.484</v>
      </c>
      <c r="G284" s="77">
        <v>1.452</v>
      </c>
      <c r="H284" s="77">
        <v>1.456</v>
      </c>
      <c r="I284" s="77">
        <v>1.409</v>
      </c>
      <c r="J284" s="3">
        <v>317</v>
      </c>
      <c r="K284" s="16">
        <v>0.29930555555555555</v>
      </c>
      <c r="L284" s="5">
        <f t="shared" si="45"/>
        <v>45940</v>
      </c>
      <c r="M284" s="17">
        <v>0.99</v>
      </c>
      <c r="N284" s="22">
        <v>1.099</v>
      </c>
      <c r="O284" s="22">
        <f>+MAX(Tabla4[[#This Row],[6KWA]:[9KWA]])</f>
        <v>1.484</v>
      </c>
      <c r="P284" s="3">
        <f t="shared" si="37"/>
        <v>10</v>
      </c>
      <c r="Q284" s="3">
        <f t="shared" si="38"/>
        <v>10</v>
      </c>
      <c r="R284" s="3">
        <f t="shared" si="39"/>
        <v>41</v>
      </c>
      <c r="S284" s="3" t="str">
        <f t="shared" si="40"/>
        <v>octubre</v>
      </c>
      <c r="T284" s="21">
        <f t="shared" si="41"/>
        <v>519.4</v>
      </c>
      <c r="U284" s="21">
        <f t="shared" si="42"/>
        <v>508.2</v>
      </c>
      <c r="V284" s="21">
        <f t="shared" si="43"/>
        <v>509.59999999999997</v>
      </c>
      <c r="W284" s="21">
        <f>+Tabla4[[#This Row],[9KWA]]*350</f>
        <v>493.15000000000003</v>
      </c>
      <c r="X284" s="21">
        <f>350*Tabla4[[#This Row],[Max Factor Medido]]</f>
        <v>519.4</v>
      </c>
      <c r="Y284" s="39">
        <v>0.94</v>
      </c>
      <c r="Z284" s="3">
        <f t="shared" si="44"/>
        <v>2025</v>
      </c>
      <c r="AA284" s="21">
        <f>+MEDIAN(Tabla4[[#This Row],[kwreal 6]:[kwreal 9]])</f>
        <v>508.9</v>
      </c>
      <c r="AB284" s="21">
        <f>+Tabla4[[#This Row],[LineaBase-FD]]/350</f>
        <v>1.454</v>
      </c>
    </row>
    <row r="285" spans="1:28" x14ac:dyDescent="0.3">
      <c r="A285" s="28">
        <v>1986</v>
      </c>
      <c r="B285" s="3">
        <v>615</v>
      </c>
      <c r="C285" s="3">
        <v>242</v>
      </c>
      <c r="D285" s="3">
        <v>1031</v>
      </c>
      <c r="E285" s="3">
        <v>97</v>
      </c>
      <c r="F285" s="77">
        <v>1.581</v>
      </c>
      <c r="G285" s="77">
        <v>1.4650000000000001</v>
      </c>
      <c r="H285" s="77">
        <v>1.456</v>
      </c>
      <c r="I285" s="77">
        <v>1.409</v>
      </c>
      <c r="J285" s="3">
        <v>320</v>
      </c>
      <c r="K285" s="16">
        <v>0.32916666666666666</v>
      </c>
      <c r="L285" s="5">
        <f t="shared" si="45"/>
        <v>45941</v>
      </c>
      <c r="M285" s="17">
        <v>0.99</v>
      </c>
      <c r="N285" s="22">
        <v>1.149</v>
      </c>
      <c r="O285" s="22">
        <f>+MAX(Tabla4[[#This Row],[6KWA]:[9KWA]])</f>
        <v>1.581</v>
      </c>
      <c r="P285" s="3">
        <f t="shared" si="37"/>
        <v>11</v>
      </c>
      <c r="Q285" s="3">
        <f t="shared" si="38"/>
        <v>10</v>
      </c>
      <c r="R285" s="3">
        <f t="shared" si="39"/>
        <v>41</v>
      </c>
      <c r="S285" s="3" t="str">
        <f t="shared" si="40"/>
        <v>octubre</v>
      </c>
      <c r="T285" s="21">
        <f t="shared" si="41"/>
        <v>553.35</v>
      </c>
      <c r="U285" s="21">
        <f t="shared" si="42"/>
        <v>512.75</v>
      </c>
      <c r="V285" s="21">
        <f t="shared" si="43"/>
        <v>509.59999999999997</v>
      </c>
      <c r="W285" s="21">
        <f>+Tabla4[[#This Row],[9KWA]]*350</f>
        <v>493.15000000000003</v>
      </c>
      <c r="X285" s="21">
        <f>350*Tabla4[[#This Row],[Max Factor Medido]]</f>
        <v>553.35</v>
      </c>
      <c r="Y285" s="39">
        <v>0.94</v>
      </c>
      <c r="Z285" s="3">
        <f t="shared" si="44"/>
        <v>2025</v>
      </c>
      <c r="AA285" s="21">
        <f>+MEDIAN(Tabla4[[#This Row],[kwreal 6]:[kwreal 9]])</f>
        <v>511.17499999999995</v>
      </c>
      <c r="AB285" s="21">
        <f>+Tabla4[[#This Row],[LineaBase-FD]]/350</f>
        <v>1.4604999999999999</v>
      </c>
    </row>
    <row r="286" spans="1:28" x14ac:dyDescent="0.3">
      <c r="A286" s="29">
        <v>2015</v>
      </c>
      <c r="B286" s="2">
        <v>615</v>
      </c>
      <c r="C286" s="2">
        <v>242</v>
      </c>
      <c r="D286" s="2">
        <v>1055</v>
      </c>
      <c r="E286" s="2">
        <v>102</v>
      </c>
      <c r="F286" s="77">
        <v>1.581</v>
      </c>
      <c r="G286" s="77">
        <v>1.4650000000000001</v>
      </c>
      <c r="H286" s="77">
        <v>1.456</v>
      </c>
      <c r="I286" s="77">
        <v>1.409</v>
      </c>
      <c r="J286" s="2">
        <v>324</v>
      </c>
      <c r="K286" s="8">
        <v>0.29236111111111113</v>
      </c>
      <c r="L286" s="6">
        <f t="shared" si="45"/>
        <v>45942</v>
      </c>
      <c r="M286" s="11">
        <v>0.99</v>
      </c>
      <c r="N286" s="22">
        <v>1.159</v>
      </c>
      <c r="O286" s="22">
        <f>+MAX(Tabla4[[#This Row],[6KWA]:[9KWA]])</f>
        <v>1.581</v>
      </c>
      <c r="P286" s="3">
        <f t="shared" si="37"/>
        <v>12</v>
      </c>
      <c r="Q286" s="3">
        <f t="shared" si="38"/>
        <v>10</v>
      </c>
      <c r="R286" s="3">
        <f t="shared" si="39"/>
        <v>42</v>
      </c>
      <c r="S286" s="3" t="str">
        <f t="shared" si="40"/>
        <v>octubre</v>
      </c>
      <c r="T286" s="21">
        <f t="shared" si="41"/>
        <v>553.35</v>
      </c>
      <c r="U286" s="21">
        <f t="shared" si="42"/>
        <v>512.75</v>
      </c>
      <c r="V286" s="21">
        <f t="shared" si="43"/>
        <v>509.59999999999997</v>
      </c>
      <c r="W286" s="21">
        <f>+Tabla4[[#This Row],[9KWA]]*350</f>
        <v>493.15000000000003</v>
      </c>
      <c r="X286" s="21">
        <f>350*Tabla4[[#This Row],[Max Factor Medido]]</f>
        <v>553.35</v>
      </c>
      <c r="Y286" s="39">
        <v>0.94</v>
      </c>
      <c r="Z286" s="3">
        <f t="shared" si="44"/>
        <v>2025</v>
      </c>
      <c r="AA286" s="21">
        <f>+MEDIAN(Tabla4[[#This Row],[kwreal 6]:[kwreal 9]])</f>
        <v>511.17499999999995</v>
      </c>
      <c r="AB286" s="21">
        <f>+Tabla4[[#This Row],[LineaBase-FD]]/350</f>
        <v>1.4604999999999999</v>
      </c>
    </row>
    <row r="287" spans="1:28" x14ac:dyDescent="0.3">
      <c r="A287" s="29">
        <v>2044</v>
      </c>
      <c r="B287" s="2">
        <v>615</v>
      </c>
      <c r="C287" s="2">
        <v>242</v>
      </c>
      <c r="D287" s="2">
        <v>1079</v>
      </c>
      <c r="E287" s="2">
        <v>107</v>
      </c>
      <c r="F287" s="77">
        <v>1.581</v>
      </c>
      <c r="G287" s="77">
        <v>1.4650000000000001</v>
      </c>
      <c r="H287" s="77">
        <v>1.456</v>
      </c>
      <c r="I287" s="77">
        <v>1.409</v>
      </c>
      <c r="J287" s="2">
        <v>328</v>
      </c>
      <c r="K287" s="8">
        <v>0.28888888888888886</v>
      </c>
      <c r="L287" s="6">
        <f t="shared" si="45"/>
        <v>45943</v>
      </c>
      <c r="M287" s="11">
        <v>0.99</v>
      </c>
      <c r="N287" s="22">
        <v>1.171</v>
      </c>
      <c r="O287" s="22">
        <f>+MAX(Tabla4[[#This Row],[6KWA]:[9KWA]])</f>
        <v>1.581</v>
      </c>
      <c r="P287" s="3">
        <f t="shared" si="37"/>
        <v>13</v>
      </c>
      <c r="Q287" s="3">
        <f t="shared" si="38"/>
        <v>10</v>
      </c>
      <c r="R287" s="3">
        <f t="shared" si="39"/>
        <v>42</v>
      </c>
      <c r="S287" s="3" t="str">
        <f t="shared" si="40"/>
        <v>octubre</v>
      </c>
      <c r="T287" s="21">
        <f t="shared" si="41"/>
        <v>553.35</v>
      </c>
      <c r="U287" s="21">
        <f t="shared" si="42"/>
        <v>512.75</v>
      </c>
      <c r="V287" s="21">
        <f t="shared" si="43"/>
        <v>509.59999999999997</v>
      </c>
      <c r="W287" s="21">
        <f>+Tabla4[[#This Row],[9KWA]]*350</f>
        <v>493.15000000000003</v>
      </c>
      <c r="X287" s="21">
        <f>350*Tabla4[[#This Row],[Max Factor Medido]]</f>
        <v>553.35</v>
      </c>
      <c r="Y287" s="39">
        <v>0.94</v>
      </c>
      <c r="Z287" s="3">
        <f t="shared" si="44"/>
        <v>2025</v>
      </c>
      <c r="AA287" s="21">
        <f>+MEDIAN(Tabla4[[#This Row],[kwreal 6]:[kwreal 9]])</f>
        <v>511.17499999999995</v>
      </c>
      <c r="AB287" s="21">
        <f>+Tabla4[[#This Row],[LineaBase-FD]]/350</f>
        <v>1.4604999999999999</v>
      </c>
    </row>
    <row r="288" spans="1:28" x14ac:dyDescent="0.3">
      <c r="A288" s="28">
        <v>2076</v>
      </c>
      <c r="B288" s="3">
        <v>628</v>
      </c>
      <c r="C288" s="3">
        <v>247</v>
      </c>
      <c r="D288" s="3">
        <v>1092</v>
      </c>
      <c r="E288" s="3">
        <v>107</v>
      </c>
      <c r="F288" s="77">
        <v>1.581</v>
      </c>
      <c r="G288" s="77">
        <v>1.4650000000000001</v>
      </c>
      <c r="H288" s="77">
        <v>1.456</v>
      </c>
      <c r="I288" s="77">
        <v>1.409</v>
      </c>
      <c r="J288" s="3">
        <v>331</v>
      </c>
      <c r="K288" s="16">
        <v>0.3576388888888889</v>
      </c>
      <c r="L288" s="5">
        <f t="shared" si="45"/>
        <v>45944</v>
      </c>
      <c r="M288" s="17">
        <v>0.99</v>
      </c>
      <c r="N288" s="22">
        <v>1.141</v>
      </c>
      <c r="O288" s="22">
        <f>+MAX(Tabla4[[#This Row],[6KWA]:[9KWA]])</f>
        <v>1.581</v>
      </c>
      <c r="P288" s="3">
        <f t="shared" si="37"/>
        <v>14</v>
      </c>
      <c r="Q288" s="3">
        <f t="shared" si="38"/>
        <v>10</v>
      </c>
      <c r="R288" s="3">
        <f t="shared" si="39"/>
        <v>42</v>
      </c>
      <c r="S288" s="3" t="str">
        <f t="shared" si="40"/>
        <v>octubre</v>
      </c>
      <c r="T288" s="21">
        <f t="shared" si="41"/>
        <v>553.35</v>
      </c>
      <c r="U288" s="21">
        <f t="shared" si="42"/>
        <v>512.75</v>
      </c>
      <c r="V288" s="21">
        <f t="shared" si="43"/>
        <v>509.59999999999997</v>
      </c>
      <c r="W288" s="21">
        <f>+Tabla4[[#This Row],[9KWA]]*350</f>
        <v>493.15000000000003</v>
      </c>
      <c r="X288" s="21">
        <f>350*Tabla4[[#This Row],[Max Factor Medido]]</f>
        <v>553.35</v>
      </c>
      <c r="Y288" s="39">
        <v>0.94</v>
      </c>
      <c r="Z288" s="3">
        <f t="shared" si="44"/>
        <v>2025</v>
      </c>
      <c r="AA288" s="21">
        <f>+MEDIAN(Tabla4[[#This Row],[kwreal 6]:[kwreal 9]])</f>
        <v>511.17499999999995</v>
      </c>
      <c r="AB288" s="21">
        <f>+Tabla4[[#This Row],[LineaBase-FD]]/350</f>
        <v>1.4604999999999999</v>
      </c>
    </row>
    <row r="289" spans="1:28" x14ac:dyDescent="0.3">
      <c r="A289" s="28">
        <v>2103</v>
      </c>
      <c r="B289" s="3">
        <v>640</v>
      </c>
      <c r="C289" s="3">
        <v>252</v>
      </c>
      <c r="D289" s="14">
        <v>1102</v>
      </c>
      <c r="E289" s="3">
        <v>107</v>
      </c>
      <c r="F289" s="77">
        <v>1.581</v>
      </c>
      <c r="G289" s="77">
        <v>1.4650000000000001</v>
      </c>
      <c r="H289" s="77">
        <v>1.456</v>
      </c>
      <c r="I289" s="77">
        <v>1.409</v>
      </c>
      <c r="J289" s="3">
        <v>333</v>
      </c>
      <c r="K289" s="16">
        <v>0.27500000000000002</v>
      </c>
      <c r="L289" s="5">
        <f t="shared" si="45"/>
        <v>45945</v>
      </c>
      <c r="M289" s="17">
        <v>0.99</v>
      </c>
      <c r="N289" s="22">
        <v>1.1719999999999999</v>
      </c>
      <c r="O289" s="22">
        <f>+MAX(Tabla4[[#This Row],[6KWA]:[9KWA]])</f>
        <v>1.581</v>
      </c>
      <c r="P289" s="3">
        <f t="shared" si="37"/>
        <v>15</v>
      </c>
      <c r="Q289" s="3">
        <f t="shared" si="38"/>
        <v>10</v>
      </c>
      <c r="R289" s="3">
        <f t="shared" si="39"/>
        <v>42</v>
      </c>
      <c r="S289" s="3" t="str">
        <f t="shared" si="40"/>
        <v>octubre</v>
      </c>
      <c r="T289" s="21">
        <f t="shared" si="41"/>
        <v>553.35</v>
      </c>
      <c r="U289" s="21">
        <f t="shared" si="42"/>
        <v>512.75</v>
      </c>
      <c r="V289" s="21">
        <f t="shared" si="43"/>
        <v>509.59999999999997</v>
      </c>
      <c r="W289" s="21">
        <f>+Tabla4[[#This Row],[9KWA]]*350</f>
        <v>493.15000000000003</v>
      </c>
      <c r="X289" s="21">
        <f>350*Tabla4[[#This Row],[Max Factor Medido]]</f>
        <v>553.35</v>
      </c>
      <c r="Y289" s="39">
        <v>0.94</v>
      </c>
      <c r="Z289" s="3">
        <f t="shared" si="44"/>
        <v>2025</v>
      </c>
      <c r="AA289" s="21">
        <f>+MEDIAN(Tabla4[[#This Row],[kwreal 6]:[kwreal 9]])</f>
        <v>511.17499999999995</v>
      </c>
      <c r="AB289" s="21">
        <f>+Tabla4[[#This Row],[LineaBase-FD]]/350</f>
        <v>1.4604999999999999</v>
      </c>
    </row>
    <row r="290" spans="1:28" x14ac:dyDescent="0.3">
      <c r="A290" s="28">
        <v>2132</v>
      </c>
      <c r="B290" s="3">
        <v>652</v>
      </c>
      <c r="C290" s="3">
        <v>257</v>
      </c>
      <c r="D290" s="3">
        <v>1114</v>
      </c>
      <c r="E290" s="3">
        <v>107</v>
      </c>
      <c r="F290" s="77">
        <v>1.581</v>
      </c>
      <c r="G290" s="77">
        <v>1.4650000000000001</v>
      </c>
      <c r="H290" s="77">
        <v>1.456</v>
      </c>
      <c r="I290" s="77">
        <v>1.409</v>
      </c>
      <c r="J290" s="3">
        <v>336</v>
      </c>
      <c r="K290" s="16">
        <v>0.27986111111111112</v>
      </c>
      <c r="L290" s="5">
        <f t="shared" si="45"/>
        <v>45946</v>
      </c>
      <c r="M290" s="17">
        <v>0.99</v>
      </c>
      <c r="N290" s="22">
        <v>1.0860000000000001</v>
      </c>
      <c r="O290" s="22">
        <f>+MAX(Tabla4[[#This Row],[6KWA]:[9KWA]])</f>
        <v>1.581</v>
      </c>
      <c r="P290" s="3">
        <f t="shared" si="37"/>
        <v>16</v>
      </c>
      <c r="Q290" s="3">
        <f t="shared" si="38"/>
        <v>10</v>
      </c>
      <c r="R290" s="3">
        <f t="shared" si="39"/>
        <v>42</v>
      </c>
      <c r="S290" s="3" t="str">
        <f t="shared" si="40"/>
        <v>octubre</v>
      </c>
      <c r="T290" s="21">
        <f t="shared" si="41"/>
        <v>553.35</v>
      </c>
      <c r="U290" s="21">
        <f t="shared" si="42"/>
        <v>512.75</v>
      </c>
      <c r="V290" s="21">
        <f t="shared" si="43"/>
        <v>509.59999999999997</v>
      </c>
      <c r="W290" s="21">
        <f>+Tabla4[[#This Row],[9KWA]]*350</f>
        <v>493.15000000000003</v>
      </c>
      <c r="X290" s="21">
        <f>350*Tabla4[[#This Row],[Max Factor Medido]]</f>
        <v>553.35</v>
      </c>
      <c r="Y290" s="39">
        <v>0.94</v>
      </c>
      <c r="Z290" s="3">
        <f t="shared" si="44"/>
        <v>2025</v>
      </c>
      <c r="AA290" s="21">
        <f>+MEDIAN(Tabla4[[#This Row],[kwreal 6]:[kwreal 9]])</f>
        <v>511.17499999999995</v>
      </c>
      <c r="AB290" s="21">
        <f>+Tabla4[[#This Row],[LineaBase-FD]]/350</f>
        <v>1.4604999999999999</v>
      </c>
    </row>
    <row r="291" spans="1:28" x14ac:dyDescent="0.3">
      <c r="A291" s="28">
        <v>2161</v>
      </c>
      <c r="B291" s="3">
        <v>665</v>
      </c>
      <c r="C291" s="3">
        <v>262</v>
      </c>
      <c r="D291" s="3">
        <v>1126</v>
      </c>
      <c r="E291" s="3">
        <v>107</v>
      </c>
      <c r="F291" s="77">
        <v>1.581</v>
      </c>
      <c r="G291" s="77">
        <v>1.4650000000000001</v>
      </c>
      <c r="H291" s="77">
        <v>1.456</v>
      </c>
      <c r="I291" s="77">
        <v>1.409</v>
      </c>
      <c r="J291" s="3">
        <v>339</v>
      </c>
      <c r="K291" s="16">
        <v>0.29444444444444445</v>
      </c>
      <c r="L291" s="5">
        <f t="shared" si="45"/>
        <v>45947</v>
      </c>
      <c r="M291" s="17">
        <v>0.98</v>
      </c>
      <c r="N291" s="22">
        <v>1.212</v>
      </c>
      <c r="O291" s="22">
        <f>+MAX(Tabla4[[#This Row],[6KWA]:[9KWA]])</f>
        <v>1.581</v>
      </c>
      <c r="P291" s="3">
        <f t="shared" si="37"/>
        <v>17</v>
      </c>
      <c r="Q291" s="3">
        <f t="shared" si="38"/>
        <v>10</v>
      </c>
      <c r="R291" s="3">
        <f t="shared" si="39"/>
        <v>42</v>
      </c>
      <c r="S291" s="3" t="str">
        <f t="shared" si="40"/>
        <v>octubre</v>
      </c>
      <c r="T291" s="21">
        <f t="shared" si="41"/>
        <v>553.35</v>
      </c>
      <c r="U291" s="21">
        <f t="shared" si="42"/>
        <v>512.75</v>
      </c>
      <c r="V291" s="21">
        <f t="shared" si="43"/>
        <v>509.59999999999997</v>
      </c>
      <c r="W291" s="21">
        <f>+Tabla4[[#This Row],[9KWA]]*350</f>
        <v>493.15000000000003</v>
      </c>
      <c r="X291" s="21">
        <f>350*Tabla4[[#This Row],[Max Factor Medido]]</f>
        <v>553.35</v>
      </c>
      <c r="Y291" s="39">
        <v>0.94</v>
      </c>
      <c r="Z291" s="3">
        <f t="shared" si="44"/>
        <v>2025</v>
      </c>
      <c r="AA291" s="21">
        <f>+MEDIAN(Tabla4[[#This Row],[kwreal 6]:[kwreal 9]])</f>
        <v>511.17499999999995</v>
      </c>
      <c r="AB291" s="21">
        <f>+Tabla4[[#This Row],[LineaBase-FD]]/350</f>
        <v>1.4604999999999999</v>
      </c>
    </row>
    <row r="292" spans="1:28" x14ac:dyDescent="0.3">
      <c r="A292" s="29">
        <v>2190</v>
      </c>
      <c r="B292" s="2">
        <v>678</v>
      </c>
      <c r="C292" s="2">
        <v>267</v>
      </c>
      <c r="D292" s="2">
        <v>1137</v>
      </c>
      <c r="E292" s="2">
        <v>107</v>
      </c>
      <c r="F292" s="77">
        <v>1.581</v>
      </c>
      <c r="G292" s="77">
        <v>1.4650000000000001</v>
      </c>
      <c r="H292" s="77">
        <v>1.456</v>
      </c>
      <c r="I292" s="77">
        <v>1.409</v>
      </c>
      <c r="J292" s="2">
        <v>342</v>
      </c>
      <c r="K292" s="8">
        <v>0.29305555555555557</v>
      </c>
      <c r="L292" s="6">
        <f t="shared" si="45"/>
        <v>45948</v>
      </c>
      <c r="M292" s="11">
        <v>0.99</v>
      </c>
      <c r="N292" s="22">
        <v>1.3380000000000001</v>
      </c>
      <c r="O292" s="22">
        <f>+MAX(Tabla4[[#This Row],[6KWA]:[9KWA]])</f>
        <v>1.581</v>
      </c>
      <c r="P292" s="3">
        <f t="shared" si="37"/>
        <v>18</v>
      </c>
      <c r="Q292" s="3">
        <f t="shared" si="38"/>
        <v>10</v>
      </c>
      <c r="R292" s="3">
        <f t="shared" si="39"/>
        <v>42</v>
      </c>
      <c r="S292" s="3" t="str">
        <f t="shared" si="40"/>
        <v>octubre</v>
      </c>
      <c r="T292" s="21">
        <f t="shared" si="41"/>
        <v>553.35</v>
      </c>
      <c r="U292" s="21">
        <f t="shared" si="42"/>
        <v>512.75</v>
      </c>
      <c r="V292" s="21">
        <f t="shared" si="43"/>
        <v>509.59999999999997</v>
      </c>
      <c r="W292" s="21">
        <f>+Tabla4[[#This Row],[9KWA]]*350</f>
        <v>493.15000000000003</v>
      </c>
      <c r="X292" s="21">
        <f>350*Tabla4[[#This Row],[Max Factor Medido]]</f>
        <v>553.35</v>
      </c>
      <c r="Y292" s="39">
        <v>0.94</v>
      </c>
      <c r="Z292" s="3">
        <f t="shared" si="44"/>
        <v>2025</v>
      </c>
      <c r="AA292" s="21">
        <f>+MEDIAN(Tabla4[[#This Row],[kwreal 6]:[kwreal 9]])</f>
        <v>511.17499999999995</v>
      </c>
      <c r="AB292" s="21">
        <f>+Tabla4[[#This Row],[LineaBase-FD]]/350</f>
        <v>1.4604999999999999</v>
      </c>
    </row>
    <row r="293" spans="1:28" x14ac:dyDescent="0.3">
      <c r="A293" s="29">
        <v>2219</v>
      </c>
      <c r="B293" s="2">
        <v>678</v>
      </c>
      <c r="C293" s="2">
        <v>267</v>
      </c>
      <c r="D293" s="2">
        <v>1161</v>
      </c>
      <c r="E293" s="2">
        <v>112</v>
      </c>
      <c r="F293" s="77">
        <v>1.581</v>
      </c>
      <c r="G293" s="77">
        <v>1.4650000000000001</v>
      </c>
      <c r="H293" s="77">
        <v>1.456</v>
      </c>
      <c r="I293" s="77">
        <v>1.409</v>
      </c>
      <c r="J293" s="2">
        <v>345</v>
      </c>
      <c r="K293" s="8">
        <v>0.29652777777777778</v>
      </c>
      <c r="L293" s="6">
        <f t="shared" si="45"/>
        <v>45949</v>
      </c>
      <c r="M293" s="11">
        <v>0.99</v>
      </c>
      <c r="N293" s="22">
        <v>1.004</v>
      </c>
      <c r="O293" s="22">
        <f>+MAX(Tabla4[[#This Row],[6KWA]:[9KWA]])</f>
        <v>1.581</v>
      </c>
      <c r="P293" s="3">
        <f t="shared" si="37"/>
        <v>19</v>
      </c>
      <c r="Q293" s="3">
        <f t="shared" si="38"/>
        <v>10</v>
      </c>
      <c r="R293" s="3">
        <f t="shared" si="39"/>
        <v>43</v>
      </c>
      <c r="S293" s="3" t="str">
        <f t="shared" si="40"/>
        <v>octubre</v>
      </c>
      <c r="T293" s="21">
        <f t="shared" si="41"/>
        <v>553.35</v>
      </c>
      <c r="U293" s="21">
        <f t="shared" si="42"/>
        <v>512.75</v>
      </c>
      <c r="V293" s="21">
        <f t="shared" si="43"/>
        <v>509.59999999999997</v>
      </c>
      <c r="W293" s="21">
        <f>+Tabla4[[#This Row],[9KWA]]*350</f>
        <v>493.15000000000003</v>
      </c>
      <c r="X293" s="21">
        <f>350*Tabla4[[#This Row],[Max Factor Medido]]</f>
        <v>553.35</v>
      </c>
      <c r="Y293" s="39">
        <v>0.94</v>
      </c>
      <c r="Z293" s="3">
        <f t="shared" si="44"/>
        <v>2025</v>
      </c>
      <c r="AA293" s="21">
        <f>+MEDIAN(Tabla4[[#This Row],[kwreal 6]:[kwreal 9]])</f>
        <v>511.17499999999995</v>
      </c>
      <c r="AB293" s="21">
        <f>+Tabla4[[#This Row],[LineaBase-FD]]/350</f>
        <v>1.4604999999999999</v>
      </c>
    </row>
    <row r="294" spans="1:28" x14ac:dyDescent="0.3">
      <c r="A294" s="28">
        <v>2247</v>
      </c>
      <c r="B294" s="3">
        <v>678</v>
      </c>
      <c r="C294" s="3">
        <v>267</v>
      </c>
      <c r="D294" s="3">
        <v>1185</v>
      </c>
      <c r="E294" s="3">
        <v>117</v>
      </c>
      <c r="F294" s="77">
        <v>1.581</v>
      </c>
      <c r="G294" s="77">
        <v>1.4650000000000001</v>
      </c>
      <c r="H294" s="77">
        <v>1.456</v>
      </c>
      <c r="I294" s="77">
        <v>1.409</v>
      </c>
      <c r="J294" s="3">
        <v>348</v>
      </c>
      <c r="K294" s="16">
        <v>0.29652777777777778</v>
      </c>
      <c r="L294" s="5">
        <f t="shared" si="45"/>
        <v>45950</v>
      </c>
      <c r="M294" s="17">
        <v>0.98</v>
      </c>
      <c r="N294" s="22">
        <v>1.1839999999999999</v>
      </c>
      <c r="O294" s="22">
        <f>+MAX(Tabla4[[#This Row],[6KWA]:[9KWA]])</f>
        <v>1.581</v>
      </c>
      <c r="P294" s="3">
        <f t="shared" si="37"/>
        <v>20</v>
      </c>
      <c r="Q294" s="3">
        <f t="shared" si="38"/>
        <v>10</v>
      </c>
      <c r="R294" s="3">
        <f t="shared" si="39"/>
        <v>43</v>
      </c>
      <c r="S294" s="3" t="str">
        <f t="shared" si="40"/>
        <v>octubre</v>
      </c>
      <c r="T294" s="21">
        <f t="shared" si="41"/>
        <v>553.35</v>
      </c>
      <c r="U294" s="21">
        <f t="shared" si="42"/>
        <v>512.75</v>
      </c>
      <c r="V294" s="21">
        <f t="shared" si="43"/>
        <v>509.59999999999997</v>
      </c>
      <c r="W294" s="21">
        <f>+Tabla4[[#This Row],[9KWA]]*350</f>
        <v>493.15000000000003</v>
      </c>
      <c r="X294" s="21">
        <f>350*Tabla4[[#This Row],[Max Factor Medido]]</f>
        <v>553.35</v>
      </c>
      <c r="Y294" s="39">
        <v>0.94</v>
      </c>
      <c r="Z294" s="3">
        <f t="shared" si="44"/>
        <v>2025</v>
      </c>
      <c r="AA294" s="21">
        <f>+MEDIAN(Tabla4[[#This Row],[kwreal 6]:[kwreal 9]])</f>
        <v>511.17499999999995</v>
      </c>
      <c r="AB294" s="21">
        <f>+Tabla4[[#This Row],[LineaBase-FD]]/350</f>
        <v>1.4604999999999999</v>
      </c>
    </row>
    <row r="295" spans="1:28" x14ac:dyDescent="0.3">
      <c r="A295" s="28">
        <v>2279</v>
      </c>
      <c r="B295" s="3">
        <v>692</v>
      </c>
      <c r="C295" s="3">
        <v>271</v>
      </c>
      <c r="D295" s="3">
        <v>1197</v>
      </c>
      <c r="E295" s="3">
        <v>117</v>
      </c>
      <c r="F295" s="77">
        <v>1.581</v>
      </c>
      <c r="G295" s="77">
        <v>1.4650000000000001</v>
      </c>
      <c r="H295" s="77">
        <v>1.456</v>
      </c>
      <c r="I295" s="77">
        <v>1.409</v>
      </c>
      <c r="J295" s="3">
        <v>351</v>
      </c>
      <c r="K295" s="16">
        <v>0.4</v>
      </c>
      <c r="L295" s="5">
        <f t="shared" si="45"/>
        <v>45951</v>
      </c>
      <c r="M295" s="17">
        <v>0.99</v>
      </c>
      <c r="N295" s="22">
        <v>1.319</v>
      </c>
      <c r="O295" s="22">
        <f>+MAX(Tabla4[[#This Row],[6KWA]:[9KWA]])</f>
        <v>1.581</v>
      </c>
      <c r="P295" s="3">
        <f t="shared" si="37"/>
        <v>21</v>
      </c>
      <c r="Q295" s="3">
        <f t="shared" si="38"/>
        <v>10</v>
      </c>
      <c r="R295" s="3">
        <f t="shared" si="39"/>
        <v>43</v>
      </c>
      <c r="S295" s="3" t="str">
        <f t="shared" si="40"/>
        <v>octubre</v>
      </c>
      <c r="T295" s="21">
        <f t="shared" si="41"/>
        <v>553.35</v>
      </c>
      <c r="U295" s="21">
        <f t="shared" si="42"/>
        <v>512.75</v>
      </c>
      <c r="V295" s="21">
        <f t="shared" si="43"/>
        <v>509.59999999999997</v>
      </c>
      <c r="W295" s="21">
        <f>+Tabla4[[#This Row],[9KWA]]*350</f>
        <v>493.15000000000003</v>
      </c>
      <c r="X295" s="21">
        <f>350*Tabla4[[#This Row],[Max Factor Medido]]</f>
        <v>553.35</v>
      </c>
      <c r="Y295" s="39">
        <v>0.94</v>
      </c>
      <c r="Z295" s="3">
        <f t="shared" si="44"/>
        <v>2025</v>
      </c>
      <c r="AA295" s="21">
        <f>+MEDIAN(Tabla4[[#This Row],[kwreal 6]:[kwreal 9]])</f>
        <v>511.17499999999995</v>
      </c>
      <c r="AB295" s="21">
        <f>+Tabla4[[#This Row],[LineaBase-FD]]/350</f>
        <v>1.4604999999999999</v>
      </c>
    </row>
    <row r="296" spans="1:28" x14ac:dyDescent="0.3">
      <c r="A296" s="28">
        <v>2305</v>
      </c>
      <c r="B296" s="3">
        <v>703</v>
      </c>
      <c r="C296" s="3">
        <v>277</v>
      </c>
      <c r="D296" s="3">
        <v>1209</v>
      </c>
      <c r="E296" s="3">
        <v>117</v>
      </c>
      <c r="F296" s="77">
        <v>1.581</v>
      </c>
      <c r="G296" s="77">
        <v>1.4650000000000001</v>
      </c>
      <c r="H296" s="77">
        <v>1.456</v>
      </c>
      <c r="I296" s="77">
        <v>1.409</v>
      </c>
      <c r="J296" s="3">
        <v>354</v>
      </c>
      <c r="K296" s="16">
        <v>0.4</v>
      </c>
      <c r="L296" s="5">
        <f t="shared" si="45"/>
        <v>45952</v>
      </c>
      <c r="M296" s="17">
        <v>0.99</v>
      </c>
      <c r="N296" s="22">
        <v>1.0529999999999999</v>
      </c>
      <c r="O296" s="22">
        <f>+MAX(Tabla4[[#This Row],[6KWA]:[9KWA]])</f>
        <v>1.581</v>
      </c>
      <c r="P296" s="3">
        <f t="shared" si="37"/>
        <v>22</v>
      </c>
      <c r="Q296" s="3">
        <f t="shared" si="38"/>
        <v>10</v>
      </c>
      <c r="R296" s="3">
        <f t="shared" si="39"/>
        <v>43</v>
      </c>
      <c r="S296" s="3" t="str">
        <f t="shared" si="40"/>
        <v>octubre</v>
      </c>
      <c r="T296" s="21">
        <f t="shared" si="41"/>
        <v>553.35</v>
      </c>
      <c r="U296" s="21">
        <f t="shared" si="42"/>
        <v>512.75</v>
      </c>
      <c r="V296" s="21">
        <f t="shared" si="43"/>
        <v>509.59999999999997</v>
      </c>
      <c r="W296" s="21">
        <f>+Tabla4[[#This Row],[9KWA]]*350</f>
        <v>493.15000000000003</v>
      </c>
      <c r="X296" s="21">
        <f>350*Tabla4[[#This Row],[Max Factor Medido]]</f>
        <v>553.35</v>
      </c>
      <c r="Y296" s="39">
        <v>0.94</v>
      </c>
      <c r="Z296" s="3">
        <f t="shared" si="44"/>
        <v>2025</v>
      </c>
      <c r="AA296" s="21">
        <f>+MEDIAN(Tabla4[[#This Row],[kwreal 6]:[kwreal 9]])</f>
        <v>511.17499999999995</v>
      </c>
      <c r="AB296" s="21">
        <f>+Tabla4[[#This Row],[LineaBase-FD]]/350</f>
        <v>1.4604999999999999</v>
      </c>
    </row>
    <row r="297" spans="1:28" x14ac:dyDescent="0.3">
      <c r="A297" s="28">
        <v>2335</v>
      </c>
      <c r="B297" s="3">
        <v>719</v>
      </c>
      <c r="C297" s="3">
        <v>282</v>
      </c>
      <c r="D297" s="3">
        <v>1219</v>
      </c>
      <c r="E297" s="3">
        <v>117</v>
      </c>
      <c r="F297" s="77">
        <v>1.581</v>
      </c>
      <c r="G297" s="77">
        <v>1.4890000000000001</v>
      </c>
      <c r="H297" s="77">
        <v>1.456</v>
      </c>
      <c r="I297" s="77">
        <v>1.409</v>
      </c>
      <c r="J297" s="3">
        <v>358</v>
      </c>
      <c r="K297" s="16">
        <v>0.29791666666666666</v>
      </c>
      <c r="L297" s="5">
        <f t="shared" si="45"/>
        <v>45953</v>
      </c>
      <c r="M297" s="17">
        <v>0.98</v>
      </c>
      <c r="N297" s="22">
        <v>1.24</v>
      </c>
      <c r="O297" s="22">
        <f>+MAX(Tabla4[[#This Row],[6KWA]:[9KWA]])</f>
        <v>1.581</v>
      </c>
      <c r="P297" s="3">
        <f t="shared" si="37"/>
        <v>23</v>
      </c>
      <c r="Q297" s="3">
        <f t="shared" si="38"/>
        <v>10</v>
      </c>
      <c r="R297" s="3">
        <f t="shared" si="39"/>
        <v>43</v>
      </c>
      <c r="S297" s="3" t="str">
        <f t="shared" si="40"/>
        <v>octubre</v>
      </c>
      <c r="T297" s="21">
        <f t="shared" si="41"/>
        <v>553.35</v>
      </c>
      <c r="U297" s="21">
        <f t="shared" si="42"/>
        <v>521.15000000000009</v>
      </c>
      <c r="V297" s="21">
        <f t="shared" si="43"/>
        <v>509.59999999999997</v>
      </c>
      <c r="W297" s="21">
        <f>+Tabla4[[#This Row],[9KWA]]*350</f>
        <v>493.15000000000003</v>
      </c>
      <c r="X297" s="21">
        <f>350*Tabla4[[#This Row],[Max Factor Medido]]</f>
        <v>553.35</v>
      </c>
      <c r="Y297" s="39">
        <v>0.94</v>
      </c>
      <c r="Z297" s="3">
        <f t="shared" si="44"/>
        <v>2025</v>
      </c>
      <c r="AA297" s="21">
        <f>+MEDIAN(Tabla4[[#This Row],[kwreal 6]:[kwreal 9]])</f>
        <v>515.375</v>
      </c>
      <c r="AB297" s="21">
        <f>+Tabla4[[#This Row],[LineaBase-FD]]/350</f>
        <v>1.4724999999999999</v>
      </c>
    </row>
    <row r="298" spans="1:28" x14ac:dyDescent="0.3">
      <c r="A298" s="28">
        <v>2354</v>
      </c>
      <c r="B298" s="3">
        <v>729</v>
      </c>
      <c r="C298" s="3">
        <v>286</v>
      </c>
      <c r="D298" s="3">
        <v>1232</v>
      </c>
      <c r="E298" s="3">
        <v>117</v>
      </c>
      <c r="F298" s="77">
        <v>1.581</v>
      </c>
      <c r="G298" s="77">
        <v>1.4890000000000001</v>
      </c>
      <c r="H298" s="77">
        <v>1.456</v>
      </c>
      <c r="I298" s="77">
        <v>1.409</v>
      </c>
      <c r="J298" s="3">
        <v>361</v>
      </c>
      <c r="K298" s="16">
        <v>0.28055555555555556</v>
      </c>
      <c r="L298" s="5">
        <f t="shared" si="45"/>
        <v>45954</v>
      </c>
      <c r="M298" s="17">
        <v>0.99</v>
      </c>
      <c r="N298" s="22">
        <v>1.081</v>
      </c>
      <c r="O298" s="22">
        <f>+MAX(Tabla4[[#This Row],[6KWA]:[9KWA]])</f>
        <v>1.581</v>
      </c>
      <c r="P298" s="3">
        <f t="shared" si="37"/>
        <v>24</v>
      </c>
      <c r="Q298" s="3">
        <f t="shared" si="38"/>
        <v>10</v>
      </c>
      <c r="R298" s="3">
        <f t="shared" si="39"/>
        <v>43</v>
      </c>
      <c r="S298" s="3" t="str">
        <f t="shared" si="40"/>
        <v>octubre</v>
      </c>
      <c r="T298" s="21">
        <f t="shared" si="41"/>
        <v>553.35</v>
      </c>
      <c r="U298" s="21">
        <f t="shared" si="42"/>
        <v>521.15000000000009</v>
      </c>
      <c r="V298" s="21">
        <f t="shared" si="43"/>
        <v>509.59999999999997</v>
      </c>
      <c r="W298" s="21">
        <f>+Tabla4[[#This Row],[9KWA]]*350</f>
        <v>493.15000000000003</v>
      </c>
      <c r="X298" s="21">
        <f>350*Tabla4[[#This Row],[Max Factor Medido]]</f>
        <v>553.35</v>
      </c>
      <c r="Y298" s="39">
        <v>0.94</v>
      </c>
      <c r="Z298" s="3">
        <f t="shared" si="44"/>
        <v>2025</v>
      </c>
      <c r="AA298" s="21">
        <f>+MEDIAN(Tabla4[[#This Row],[kwreal 6]:[kwreal 9]])</f>
        <v>515.375</v>
      </c>
      <c r="AB298" s="21">
        <f>+Tabla4[[#This Row],[LineaBase-FD]]/350</f>
        <v>1.4724999999999999</v>
      </c>
    </row>
    <row r="299" spans="1:28" x14ac:dyDescent="0.3">
      <c r="A299" s="28">
        <v>2393</v>
      </c>
      <c r="B299" s="3">
        <v>741</v>
      </c>
      <c r="C299" s="3">
        <v>291</v>
      </c>
      <c r="D299" s="3">
        <v>1242</v>
      </c>
      <c r="E299" s="3">
        <v>117</v>
      </c>
      <c r="F299" s="77">
        <v>1.581</v>
      </c>
      <c r="G299" s="77">
        <v>1.4890000000000001</v>
      </c>
      <c r="H299" s="77">
        <v>1.456</v>
      </c>
      <c r="I299" s="77">
        <v>1.409</v>
      </c>
      <c r="J299" s="3">
        <v>364</v>
      </c>
      <c r="K299" s="16">
        <v>0.27708333333333335</v>
      </c>
      <c r="L299" s="5">
        <f t="shared" si="45"/>
        <v>45955</v>
      </c>
      <c r="M299" s="17">
        <v>0.99</v>
      </c>
      <c r="N299" s="22">
        <v>1.252</v>
      </c>
      <c r="O299" s="22">
        <f>+MAX(Tabla4[[#This Row],[6KWA]:[9KWA]])</f>
        <v>1.581</v>
      </c>
      <c r="P299" s="3">
        <f t="shared" si="37"/>
        <v>25</v>
      </c>
      <c r="Q299" s="3">
        <f t="shared" si="38"/>
        <v>10</v>
      </c>
      <c r="R299" s="3">
        <f t="shared" si="39"/>
        <v>43</v>
      </c>
      <c r="S299" s="3" t="str">
        <f t="shared" si="40"/>
        <v>octubre</v>
      </c>
      <c r="T299" s="21">
        <f t="shared" si="41"/>
        <v>553.35</v>
      </c>
      <c r="U299" s="21">
        <f t="shared" si="42"/>
        <v>521.15000000000009</v>
      </c>
      <c r="V299" s="21">
        <f t="shared" si="43"/>
        <v>509.59999999999997</v>
      </c>
      <c r="W299" s="21">
        <f>+Tabla4[[#This Row],[9KWA]]*350</f>
        <v>493.15000000000003</v>
      </c>
      <c r="X299" s="21">
        <f>350*Tabla4[[#This Row],[Max Factor Medido]]</f>
        <v>553.35</v>
      </c>
      <c r="Y299" s="39">
        <v>0.94</v>
      </c>
      <c r="Z299" s="3">
        <f t="shared" si="44"/>
        <v>2025</v>
      </c>
      <c r="AA299" s="21">
        <f>+MEDIAN(Tabla4[[#This Row],[kwreal 6]:[kwreal 9]])</f>
        <v>515.375</v>
      </c>
      <c r="AB299" s="21">
        <f>+Tabla4[[#This Row],[LineaBase-FD]]/350</f>
        <v>1.4724999999999999</v>
      </c>
    </row>
    <row r="300" spans="1:28" x14ac:dyDescent="0.3">
      <c r="A300" s="28">
        <v>2422</v>
      </c>
      <c r="B300" s="3">
        <v>741</v>
      </c>
      <c r="C300" s="3">
        <v>291</v>
      </c>
      <c r="D300" s="3">
        <v>1266</v>
      </c>
      <c r="E300" s="3">
        <v>122</v>
      </c>
      <c r="F300" s="77">
        <v>1.581</v>
      </c>
      <c r="G300" s="77">
        <v>1.4890000000000001</v>
      </c>
      <c r="H300" s="77">
        <v>1.456</v>
      </c>
      <c r="I300" s="77">
        <v>1.41</v>
      </c>
      <c r="J300" s="3">
        <v>368</v>
      </c>
      <c r="K300" s="16">
        <v>0.29652777777777778</v>
      </c>
      <c r="L300" s="5">
        <f t="shared" si="45"/>
        <v>45956</v>
      </c>
      <c r="M300" s="17">
        <v>0.99</v>
      </c>
      <c r="N300" s="22">
        <v>1.298</v>
      </c>
      <c r="O300" s="22">
        <f>+MAX(Tabla4[[#This Row],[6KWA]:[9KWA]])</f>
        <v>1.581</v>
      </c>
      <c r="P300" s="3">
        <f t="shared" si="37"/>
        <v>26</v>
      </c>
      <c r="Q300" s="3">
        <f t="shared" si="38"/>
        <v>10</v>
      </c>
      <c r="R300" s="3">
        <f t="shared" si="39"/>
        <v>44</v>
      </c>
      <c r="S300" s="3" t="str">
        <f t="shared" si="40"/>
        <v>octubre</v>
      </c>
      <c r="T300" s="21">
        <f t="shared" si="41"/>
        <v>553.35</v>
      </c>
      <c r="U300" s="21">
        <f t="shared" si="42"/>
        <v>521.15000000000009</v>
      </c>
      <c r="V300" s="21">
        <f t="shared" si="43"/>
        <v>509.59999999999997</v>
      </c>
      <c r="W300" s="21">
        <f>+Tabla4[[#This Row],[9KWA]]*350</f>
        <v>493.5</v>
      </c>
      <c r="X300" s="21">
        <f>350*Tabla4[[#This Row],[Max Factor Medido]]</f>
        <v>553.35</v>
      </c>
      <c r="Y300" s="39">
        <v>0.94</v>
      </c>
      <c r="Z300" s="3">
        <f t="shared" si="44"/>
        <v>2025</v>
      </c>
      <c r="AA300" s="21">
        <f>+MEDIAN(Tabla4[[#This Row],[kwreal 6]:[kwreal 9]])</f>
        <v>515.375</v>
      </c>
      <c r="AB300" s="21">
        <f>+Tabla4[[#This Row],[LineaBase-FD]]/350</f>
        <v>1.4724999999999999</v>
      </c>
    </row>
    <row r="301" spans="1:28" x14ac:dyDescent="0.3">
      <c r="A301" s="28">
        <v>2451</v>
      </c>
      <c r="B301" s="3">
        <v>741</v>
      </c>
      <c r="C301" s="3">
        <v>291</v>
      </c>
      <c r="D301" s="3">
        <v>1291</v>
      </c>
      <c r="E301" s="3">
        <v>126</v>
      </c>
      <c r="F301" s="77">
        <v>1.581</v>
      </c>
      <c r="G301" s="77">
        <v>1.4890000000000001</v>
      </c>
      <c r="H301" s="77">
        <v>1.456</v>
      </c>
      <c r="I301" s="77">
        <v>1.41</v>
      </c>
      <c r="J301" s="3">
        <v>371</v>
      </c>
      <c r="K301" s="16">
        <v>0.29375000000000001</v>
      </c>
      <c r="L301" s="5">
        <f t="shared" si="45"/>
        <v>45957</v>
      </c>
      <c r="M301" s="17">
        <v>0.99</v>
      </c>
      <c r="N301" s="22">
        <v>0.1192</v>
      </c>
      <c r="O301" s="22">
        <f>+MAX(Tabla4[[#This Row],[6KWA]:[9KWA]])</f>
        <v>1.581</v>
      </c>
      <c r="P301" s="3">
        <f t="shared" si="37"/>
        <v>27</v>
      </c>
      <c r="Q301" s="3">
        <f t="shared" si="38"/>
        <v>10</v>
      </c>
      <c r="R301" s="3">
        <f t="shared" si="39"/>
        <v>44</v>
      </c>
      <c r="S301" s="3" t="str">
        <f t="shared" si="40"/>
        <v>octubre</v>
      </c>
      <c r="T301" s="21">
        <f t="shared" si="41"/>
        <v>553.35</v>
      </c>
      <c r="U301" s="21">
        <f t="shared" si="42"/>
        <v>521.15000000000009</v>
      </c>
      <c r="V301" s="21">
        <f t="shared" si="43"/>
        <v>509.59999999999997</v>
      </c>
      <c r="W301" s="21">
        <f>+Tabla4[[#This Row],[9KWA]]*350</f>
        <v>493.5</v>
      </c>
      <c r="X301" s="21">
        <f>350*Tabla4[[#This Row],[Max Factor Medido]]</f>
        <v>553.35</v>
      </c>
      <c r="Y301" s="39">
        <v>0.94</v>
      </c>
      <c r="Z301" s="3">
        <f t="shared" si="44"/>
        <v>2025</v>
      </c>
      <c r="AA301" s="21">
        <f>+MEDIAN(Tabla4[[#This Row],[kwreal 6]:[kwreal 9]])</f>
        <v>515.375</v>
      </c>
      <c r="AB301" s="21">
        <f>+Tabla4[[#This Row],[LineaBase-FD]]/350</f>
        <v>1.4724999999999999</v>
      </c>
    </row>
    <row r="302" spans="1:28" x14ac:dyDescent="0.3">
      <c r="A302" s="28">
        <v>2479</v>
      </c>
      <c r="B302" s="3">
        <v>753</v>
      </c>
      <c r="C302" s="3">
        <v>296</v>
      </c>
      <c r="D302" s="3">
        <v>1301</v>
      </c>
      <c r="E302" s="3">
        <v>126</v>
      </c>
      <c r="F302" s="77">
        <v>1.581</v>
      </c>
      <c r="G302" s="77">
        <v>1.4890000000000001</v>
      </c>
      <c r="H302" s="77">
        <v>1.456</v>
      </c>
      <c r="I302" s="77">
        <v>1.1399999999999999</v>
      </c>
      <c r="J302" s="3">
        <v>374</v>
      </c>
      <c r="K302" s="16">
        <v>0.29236111111111113</v>
      </c>
      <c r="L302" s="5">
        <f t="shared" si="45"/>
        <v>45958</v>
      </c>
      <c r="M302" s="17">
        <v>0.99</v>
      </c>
      <c r="N302" s="22">
        <v>0.10970000000000001</v>
      </c>
      <c r="O302" s="22">
        <f>+MAX(Tabla4[[#This Row],[6KWA]:[9KWA]])</f>
        <v>1.581</v>
      </c>
      <c r="P302" s="3">
        <f t="shared" si="37"/>
        <v>28</v>
      </c>
      <c r="Q302" s="3">
        <f t="shared" si="38"/>
        <v>10</v>
      </c>
      <c r="R302" s="3">
        <f t="shared" si="39"/>
        <v>44</v>
      </c>
      <c r="S302" s="3" t="str">
        <f t="shared" si="40"/>
        <v>octubre</v>
      </c>
      <c r="T302" s="21">
        <f t="shared" si="41"/>
        <v>553.35</v>
      </c>
      <c r="U302" s="21">
        <f t="shared" si="42"/>
        <v>521.15000000000009</v>
      </c>
      <c r="V302" s="21">
        <f t="shared" si="43"/>
        <v>509.59999999999997</v>
      </c>
      <c r="W302" s="21">
        <f>+Tabla4[[#This Row],[9KWA]]*350</f>
        <v>398.99999999999994</v>
      </c>
      <c r="X302" s="21">
        <f>350*Tabla4[[#This Row],[Max Factor Medido]]</f>
        <v>553.35</v>
      </c>
      <c r="Y302" s="39">
        <v>0.94</v>
      </c>
      <c r="Z302" s="3">
        <f t="shared" si="44"/>
        <v>2025</v>
      </c>
      <c r="AA302" s="21">
        <f>+MEDIAN(Tabla4[[#This Row],[kwreal 6]:[kwreal 9]])</f>
        <v>515.375</v>
      </c>
      <c r="AB302" s="21">
        <f>+Tabla4[[#This Row],[LineaBase-FD]]/350</f>
        <v>1.4724999999999999</v>
      </c>
    </row>
    <row r="303" spans="1:28" x14ac:dyDescent="0.3">
      <c r="A303" s="28">
        <v>2507</v>
      </c>
      <c r="B303" s="3">
        <v>766</v>
      </c>
      <c r="C303" s="3">
        <v>301</v>
      </c>
      <c r="D303" s="3">
        <v>1312</v>
      </c>
      <c r="E303" s="3">
        <v>126</v>
      </c>
      <c r="F303" s="77">
        <v>1.581</v>
      </c>
      <c r="G303" s="77">
        <v>1.4890000000000001</v>
      </c>
      <c r="H303" s="77">
        <v>1.456</v>
      </c>
      <c r="I303" s="77">
        <v>1.1399999999999999</v>
      </c>
      <c r="J303" s="3">
        <v>376</v>
      </c>
      <c r="K303" s="16">
        <v>0.27291666666666664</v>
      </c>
      <c r="L303" s="5">
        <f t="shared" si="45"/>
        <v>45959</v>
      </c>
      <c r="M303" s="17">
        <v>0.99</v>
      </c>
      <c r="N303" s="22">
        <v>0.12659999999999999</v>
      </c>
      <c r="O303" s="22">
        <f>+MAX(Tabla4[[#This Row],[6KWA]:[9KWA]])</f>
        <v>1.581</v>
      </c>
      <c r="P303" s="3">
        <f t="shared" si="37"/>
        <v>29</v>
      </c>
      <c r="Q303" s="3">
        <f t="shared" si="38"/>
        <v>10</v>
      </c>
      <c r="R303" s="3">
        <f t="shared" si="39"/>
        <v>44</v>
      </c>
      <c r="S303" s="3" t="str">
        <f t="shared" si="40"/>
        <v>octubre</v>
      </c>
      <c r="T303" s="21">
        <f t="shared" si="41"/>
        <v>553.35</v>
      </c>
      <c r="U303" s="21">
        <f t="shared" si="42"/>
        <v>521.15000000000009</v>
      </c>
      <c r="V303" s="21">
        <f t="shared" si="43"/>
        <v>509.59999999999997</v>
      </c>
      <c r="W303" s="21">
        <f>+Tabla4[[#This Row],[9KWA]]*350</f>
        <v>398.99999999999994</v>
      </c>
      <c r="X303" s="21">
        <f>350*Tabla4[[#This Row],[Max Factor Medido]]</f>
        <v>553.35</v>
      </c>
      <c r="Y303" s="39">
        <v>0.94</v>
      </c>
      <c r="Z303" s="3">
        <f t="shared" si="44"/>
        <v>2025</v>
      </c>
      <c r="AA303" s="21">
        <f>+MEDIAN(Tabla4[[#This Row],[kwreal 6]:[kwreal 9]])</f>
        <v>515.375</v>
      </c>
      <c r="AB303" s="21">
        <f>+Tabla4[[#This Row],[LineaBase-FD]]/350</f>
        <v>1.4724999999999999</v>
      </c>
    </row>
    <row r="304" spans="1:28" x14ac:dyDescent="0.3">
      <c r="A304" s="28">
        <v>2536</v>
      </c>
      <c r="B304" s="3">
        <v>779</v>
      </c>
      <c r="C304" s="3">
        <v>306</v>
      </c>
      <c r="D304" s="3">
        <v>1324</v>
      </c>
      <c r="E304" s="3">
        <v>126</v>
      </c>
      <c r="F304" s="77">
        <v>1.581</v>
      </c>
      <c r="G304" s="77">
        <v>1.4890000000000001</v>
      </c>
      <c r="H304" s="77">
        <v>1.456</v>
      </c>
      <c r="I304" s="77">
        <v>1.41</v>
      </c>
      <c r="J304" s="3">
        <v>3379</v>
      </c>
      <c r="K304" s="16">
        <v>0.27291666666666664</v>
      </c>
      <c r="L304" s="5">
        <v>45960</v>
      </c>
      <c r="M304" s="17">
        <v>0.99</v>
      </c>
      <c r="N304" s="22">
        <v>1.246</v>
      </c>
      <c r="O304" s="22">
        <f>+MAX(Tabla4[[#This Row],[6KWA]:[9KWA]])</f>
        <v>1.581</v>
      </c>
      <c r="P304" s="3">
        <f t="shared" si="37"/>
        <v>30</v>
      </c>
      <c r="Q304" s="3">
        <f t="shared" si="38"/>
        <v>10</v>
      </c>
      <c r="R304" s="3">
        <f t="shared" si="39"/>
        <v>44</v>
      </c>
      <c r="S304" s="3" t="str">
        <f t="shared" si="40"/>
        <v>octubre</v>
      </c>
      <c r="T304" s="21">
        <f t="shared" si="41"/>
        <v>553.35</v>
      </c>
      <c r="U304" s="21">
        <f t="shared" si="42"/>
        <v>521.15000000000009</v>
      </c>
      <c r="V304" s="21">
        <f t="shared" si="43"/>
        <v>509.59999999999997</v>
      </c>
      <c r="W304" s="21">
        <f>+Tabla4[[#This Row],[9KWA]]*350</f>
        <v>493.5</v>
      </c>
      <c r="X304" s="21">
        <f>350*Tabla4[[#This Row],[Max Factor Medido]]</f>
        <v>553.35</v>
      </c>
      <c r="Y304" s="39">
        <v>0.94</v>
      </c>
      <c r="Z304" s="3">
        <f t="shared" si="44"/>
        <v>2025</v>
      </c>
      <c r="AA304" s="21">
        <f>+MEDIAN(Tabla4[[#This Row],[kwreal 6]:[kwreal 9]])</f>
        <v>515.375</v>
      </c>
      <c r="AB304" s="21">
        <f>+Tabla4[[#This Row],[LineaBase-FD]]/350</f>
        <v>1.4724999999999999</v>
      </c>
    </row>
    <row r="305" spans="1:28" x14ac:dyDescent="0.3">
      <c r="A305" s="29">
        <v>2565</v>
      </c>
      <c r="B305" s="2">
        <v>791</v>
      </c>
      <c r="C305" s="2">
        <v>311</v>
      </c>
      <c r="D305" s="2">
        <v>1335</v>
      </c>
      <c r="E305" s="2">
        <v>126</v>
      </c>
      <c r="F305" s="77">
        <v>1.581</v>
      </c>
      <c r="G305" s="77">
        <v>1.4890000000000001</v>
      </c>
      <c r="H305" s="77">
        <v>1.456</v>
      </c>
      <c r="I305" s="77">
        <v>1.41</v>
      </c>
      <c r="J305" s="2">
        <v>382</v>
      </c>
      <c r="K305" s="8">
        <v>0.29097222222222224</v>
      </c>
      <c r="L305" s="6">
        <v>45961</v>
      </c>
      <c r="M305" s="11">
        <v>0.98</v>
      </c>
      <c r="N305" s="22">
        <v>1.157</v>
      </c>
      <c r="O305" s="22">
        <f>+MAX(Tabla4[[#This Row],[6KWA]:[9KWA]])</f>
        <v>1.581</v>
      </c>
      <c r="P305" s="3">
        <f t="shared" si="37"/>
        <v>31</v>
      </c>
      <c r="Q305" s="3">
        <f t="shared" si="38"/>
        <v>10</v>
      </c>
      <c r="R305" s="3">
        <f t="shared" si="39"/>
        <v>44</v>
      </c>
      <c r="S305" s="3" t="str">
        <f t="shared" si="40"/>
        <v>octubre</v>
      </c>
      <c r="T305" s="21">
        <f t="shared" si="41"/>
        <v>553.35</v>
      </c>
      <c r="U305" s="21">
        <f t="shared" si="42"/>
        <v>521.15000000000009</v>
      </c>
      <c r="V305" s="21">
        <f t="shared" si="43"/>
        <v>509.59999999999997</v>
      </c>
      <c r="W305" s="21">
        <f>+Tabla4[[#This Row],[9KWA]]*350</f>
        <v>493.5</v>
      </c>
      <c r="X305" s="21">
        <f>350*Tabla4[[#This Row],[Max Factor Medido]]</f>
        <v>553.35</v>
      </c>
      <c r="Y305" s="39">
        <v>0.94</v>
      </c>
      <c r="Z305" s="3">
        <f t="shared" si="44"/>
        <v>2025</v>
      </c>
      <c r="AA305" s="21">
        <f>+MEDIAN(Tabla4[[#This Row],[kwreal 6]:[kwreal 9]])</f>
        <v>515.375</v>
      </c>
      <c r="AB305" s="21">
        <f>+Tabla4[[#This Row],[LineaBase-FD]]/350</f>
        <v>1.4724999999999999</v>
      </c>
    </row>
    <row r="306" spans="1:28" x14ac:dyDescent="0.3">
      <c r="A306" s="28">
        <v>2593</v>
      </c>
      <c r="B306" s="3">
        <v>804</v>
      </c>
      <c r="C306" s="3">
        <v>316</v>
      </c>
      <c r="D306" s="3">
        <v>1346</v>
      </c>
      <c r="E306" s="3">
        <v>126</v>
      </c>
      <c r="F306" s="77">
        <v>0</v>
      </c>
      <c r="G306" s="77">
        <v>0</v>
      </c>
      <c r="H306" s="77">
        <v>1.2050000000000001</v>
      </c>
      <c r="I306" s="77">
        <v>0</v>
      </c>
      <c r="J306" s="3">
        <v>385</v>
      </c>
      <c r="K306" s="16">
        <v>0.28680555555555554</v>
      </c>
      <c r="L306" s="6">
        <v>45962</v>
      </c>
      <c r="M306" s="17">
        <v>0.98</v>
      </c>
      <c r="N306" s="22">
        <v>9.8000000000000007</v>
      </c>
      <c r="O306" s="22">
        <f>+MAX(Tabla4[[#This Row],[6KWA]:[9KWA]])</f>
        <v>1.2050000000000001</v>
      </c>
      <c r="P306" s="3">
        <f t="shared" si="37"/>
        <v>1</v>
      </c>
      <c r="Q306" s="3">
        <f t="shared" si="38"/>
        <v>11</v>
      </c>
      <c r="R306" s="3">
        <f t="shared" si="39"/>
        <v>44</v>
      </c>
      <c r="S306" s="3" t="str">
        <f t="shared" si="40"/>
        <v>noviembre</v>
      </c>
      <c r="T306" s="21">
        <f t="shared" si="41"/>
        <v>0</v>
      </c>
      <c r="U306" s="21">
        <f t="shared" si="42"/>
        <v>0</v>
      </c>
      <c r="V306" s="21">
        <f t="shared" si="43"/>
        <v>421.75</v>
      </c>
      <c r="W306" s="21">
        <f>+Tabla4[[#This Row],[9KWA]]*350</f>
        <v>0</v>
      </c>
      <c r="X306" s="21">
        <f>350*Tabla4[[#This Row],[Max Factor Medido]]</f>
        <v>421.75</v>
      </c>
      <c r="Y306" s="39">
        <v>0.94</v>
      </c>
      <c r="Z306" s="3">
        <f t="shared" si="44"/>
        <v>2025</v>
      </c>
      <c r="AA306" s="21">
        <f>+MEDIAN(Tabla4[[#This Row],[kwreal 6]:[kwreal 9]])</f>
        <v>0</v>
      </c>
      <c r="AB306" s="21">
        <f>+Tabla4[[#This Row],[LineaBase-FD]]/350</f>
        <v>0</v>
      </c>
    </row>
    <row r="307" spans="1:28" x14ac:dyDescent="0.3">
      <c r="A307" s="29">
        <v>2622</v>
      </c>
      <c r="B307" s="3">
        <v>804</v>
      </c>
      <c r="C307" s="3">
        <v>316</v>
      </c>
      <c r="D307" s="2">
        <v>1370</v>
      </c>
      <c r="E307" s="2">
        <v>131</v>
      </c>
      <c r="F307" s="77">
        <v>0</v>
      </c>
      <c r="G307" s="77">
        <v>0</v>
      </c>
      <c r="H307" s="77">
        <v>1.3979999999999999</v>
      </c>
      <c r="I307" s="77">
        <v>1.284</v>
      </c>
      <c r="J307" s="2">
        <v>388</v>
      </c>
      <c r="K307" s="8">
        <v>0.30486111111111114</v>
      </c>
      <c r="L307" s="6">
        <v>45963</v>
      </c>
      <c r="M307" s="11">
        <v>0.98</v>
      </c>
      <c r="N307" s="22">
        <v>1.012</v>
      </c>
      <c r="O307" s="22">
        <f>+MAX(Tabla4[[#This Row],[6KWA]:[9KWA]])</f>
        <v>1.3979999999999999</v>
      </c>
      <c r="P307" s="3">
        <f t="shared" si="37"/>
        <v>2</v>
      </c>
      <c r="Q307" s="3">
        <f t="shared" si="38"/>
        <v>11</v>
      </c>
      <c r="R307" s="3">
        <f t="shared" si="39"/>
        <v>45</v>
      </c>
      <c r="S307" s="3" t="str">
        <f t="shared" si="40"/>
        <v>noviembre</v>
      </c>
      <c r="T307" s="21">
        <f t="shared" si="41"/>
        <v>0</v>
      </c>
      <c r="U307" s="21">
        <f t="shared" si="42"/>
        <v>0</v>
      </c>
      <c r="V307" s="21">
        <f t="shared" si="43"/>
        <v>489.29999999999995</v>
      </c>
      <c r="W307" s="21">
        <f>+Tabla4[[#This Row],[9KWA]]*350</f>
        <v>449.40000000000003</v>
      </c>
      <c r="X307" s="21">
        <f>350*Tabla4[[#This Row],[Max Factor Medido]]</f>
        <v>489.29999999999995</v>
      </c>
      <c r="Y307" s="39">
        <v>0.94</v>
      </c>
      <c r="Z307" s="3">
        <f t="shared" si="44"/>
        <v>2025</v>
      </c>
      <c r="AA307" s="21">
        <f>+MEDIAN(Tabla4[[#This Row],[kwreal 6]:[kwreal 9]])</f>
        <v>224.70000000000002</v>
      </c>
      <c r="AB307" s="21">
        <f>+Tabla4[[#This Row],[LineaBase-FD]]/350</f>
        <v>0.64200000000000002</v>
      </c>
    </row>
    <row r="308" spans="1:28" x14ac:dyDescent="0.3">
      <c r="A308" s="29">
        <v>2650</v>
      </c>
      <c r="B308" s="3">
        <v>804</v>
      </c>
      <c r="C308" s="3">
        <v>316</v>
      </c>
      <c r="D308" s="2">
        <v>1393</v>
      </c>
      <c r="E308" s="2">
        <v>136</v>
      </c>
      <c r="F308" s="77">
        <v>0</v>
      </c>
      <c r="G308" s="77">
        <v>0</v>
      </c>
      <c r="H308" s="77">
        <v>1.3979999999999999</v>
      </c>
      <c r="I308" s="77">
        <v>1.2889999999999999</v>
      </c>
      <c r="J308" s="2">
        <v>392</v>
      </c>
      <c r="K308" s="8">
        <v>0.28402777777777777</v>
      </c>
      <c r="L308" s="6">
        <v>45964</v>
      </c>
      <c r="M308" s="11">
        <v>0.99</v>
      </c>
      <c r="N308" s="22">
        <v>1.2410000000000001</v>
      </c>
      <c r="O308" s="22">
        <f>+MAX(Tabla4[[#This Row],[6KWA]:[9KWA]])</f>
        <v>1.3979999999999999</v>
      </c>
      <c r="P308" s="3">
        <f t="shared" si="37"/>
        <v>3</v>
      </c>
      <c r="Q308" s="3">
        <f t="shared" si="38"/>
        <v>11</v>
      </c>
      <c r="R308" s="3">
        <f t="shared" si="39"/>
        <v>45</v>
      </c>
      <c r="S308" s="3" t="str">
        <f t="shared" si="40"/>
        <v>noviembre</v>
      </c>
      <c r="T308" s="21">
        <f t="shared" si="41"/>
        <v>0</v>
      </c>
      <c r="U308" s="21">
        <f t="shared" si="42"/>
        <v>0</v>
      </c>
      <c r="V308" s="21">
        <f t="shared" si="43"/>
        <v>489.29999999999995</v>
      </c>
      <c r="W308" s="21">
        <f>+Tabla4[[#This Row],[9KWA]]*350</f>
        <v>451.15</v>
      </c>
      <c r="X308" s="21">
        <f>350*Tabla4[[#This Row],[Max Factor Medido]]</f>
        <v>489.29999999999995</v>
      </c>
      <c r="Y308" s="39">
        <v>0.94</v>
      </c>
      <c r="Z308" s="3">
        <f t="shared" si="44"/>
        <v>2025</v>
      </c>
      <c r="AA308" s="21">
        <f>+MEDIAN(Tabla4[[#This Row],[kwreal 6]:[kwreal 9]])</f>
        <v>225.57499999999999</v>
      </c>
      <c r="AB308" s="21">
        <f>+Tabla4[[#This Row],[LineaBase-FD]]/350</f>
        <v>0.64449999999999996</v>
      </c>
    </row>
    <row r="309" spans="1:28" x14ac:dyDescent="0.3">
      <c r="A309" s="28">
        <v>2679</v>
      </c>
      <c r="B309" s="3">
        <v>804</v>
      </c>
      <c r="C309" s="3">
        <v>316</v>
      </c>
      <c r="D309" s="3">
        <v>1418</v>
      </c>
      <c r="E309" s="3">
        <v>141</v>
      </c>
      <c r="F309" s="77">
        <v>0</v>
      </c>
      <c r="G309" s="77">
        <v>0</v>
      </c>
      <c r="H309" s="77">
        <v>1.423</v>
      </c>
      <c r="I309" s="77">
        <v>1.341</v>
      </c>
      <c r="J309" s="3">
        <v>395</v>
      </c>
      <c r="K309" s="16">
        <v>0.2951388888888889</v>
      </c>
      <c r="L309" s="6">
        <v>45965</v>
      </c>
      <c r="M309" s="17">
        <v>0.99</v>
      </c>
      <c r="N309" s="22">
        <v>1.0409999999999999</v>
      </c>
      <c r="O309" s="22">
        <f>+MAX(Tabla4[[#This Row],[6KWA]:[9KWA]])</f>
        <v>1.423</v>
      </c>
      <c r="P309" s="3">
        <f t="shared" si="37"/>
        <v>4</v>
      </c>
      <c r="Q309" s="3">
        <f t="shared" si="38"/>
        <v>11</v>
      </c>
      <c r="R309" s="3">
        <f t="shared" si="39"/>
        <v>45</v>
      </c>
      <c r="S309" s="3" t="str">
        <f t="shared" si="40"/>
        <v>noviembre</v>
      </c>
      <c r="T309" s="21">
        <f t="shared" si="41"/>
        <v>0</v>
      </c>
      <c r="U309" s="21">
        <f t="shared" si="42"/>
        <v>0</v>
      </c>
      <c r="V309" s="21">
        <f t="shared" si="43"/>
        <v>498.05</v>
      </c>
      <c r="W309" s="21">
        <f>+Tabla4[[#This Row],[9KWA]]*350</f>
        <v>469.34999999999997</v>
      </c>
      <c r="X309" s="21">
        <f>350*Tabla4[[#This Row],[Max Factor Medido]]</f>
        <v>498.05</v>
      </c>
      <c r="Y309" s="39">
        <v>0.94</v>
      </c>
      <c r="Z309" s="3">
        <f t="shared" si="44"/>
        <v>2025</v>
      </c>
      <c r="AA309" s="21">
        <f>+MEDIAN(Tabla4[[#This Row],[kwreal 6]:[kwreal 9]])</f>
        <v>234.67499999999998</v>
      </c>
      <c r="AB309" s="21">
        <f>+Tabla4[[#This Row],[LineaBase-FD]]/350</f>
        <v>0.67049999999999998</v>
      </c>
    </row>
    <row r="310" spans="1:28" x14ac:dyDescent="0.3">
      <c r="A310" s="28">
        <v>2708</v>
      </c>
      <c r="B310" s="3">
        <v>816</v>
      </c>
      <c r="C310" s="3">
        <v>321</v>
      </c>
      <c r="D310" s="3">
        <v>1429</v>
      </c>
      <c r="E310" s="3">
        <v>141</v>
      </c>
      <c r="F310" s="77">
        <v>1.3919999999999999</v>
      </c>
      <c r="G310" s="77">
        <v>1.375</v>
      </c>
      <c r="H310" s="77">
        <v>1.423</v>
      </c>
      <c r="I310" s="77">
        <v>1.341</v>
      </c>
      <c r="J310" s="3">
        <v>398</v>
      </c>
      <c r="K310" s="16">
        <v>0.27847222222222223</v>
      </c>
      <c r="L310" s="5">
        <v>45966</v>
      </c>
      <c r="M310" s="17">
        <v>0.99</v>
      </c>
      <c r="N310" s="22">
        <v>1.044</v>
      </c>
      <c r="O310" s="22">
        <f>+MAX(Tabla4[[#This Row],[6KWA]:[9KWA]])</f>
        <v>1.423</v>
      </c>
      <c r="P310" s="3">
        <f t="shared" si="37"/>
        <v>5</v>
      </c>
      <c r="Q310" s="3">
        <f t="shared" si="38"/>
        <v>11</v>
      </c>
      <c r="R310" s="3">
        <f t="shared" si="39"/>
        <v>45</v>
      </c>
      <c r="S310" s="3" t="str">
        <f t="shared" si="40"/>
        <v>noviembre</v>
      </c>
      <c r="T310" s="21">
        <f t="shared" si="41"/>
        <v>487.2</v>
      </c>
      <c r="U310" s="21">
        <f t="shared" si="42"/>
        <v>481.25</v>
      </c>
      <c r="V310" s="21">
        <f t="shared" si="43"/>
        <v>498.05</v>
      </c>
      <c r="W310" s="21">
        <f>+Tabla4[[#This Row],[9KWA]]*350</f>
        <v>469.34999999999997</v>
      </c>
      <c r="X310" s="21">
        <f>350*Tabla4[[#This Row],[Max Factor Medido]]</f>
        <v>498.05</v>
      </c>
      <c r="Y310" s="39">
        <v>0.94</v>
      </c>
      <c r="Z310" s="3">
        <f t="shared" si="44"/>
        <v>2025</v>
      </c>
      <c r="AA310" s="21">
        <f>+MEDIAN(Tabla4[[#This Row],[kwreal 6]:[kwreal 9]])</f>
        <v>484.22500000000002</v>
      </c>
      <c r="AB310" s="21">
        <f>+Tabla4[[#This Row],[LineaBase-FD]]/350</f>
        <v>1.3835000000000002</v>
      </c>
    </row>
    <row r="311" spans="1:28" x14ac:dyDescent="0.3">
      <c r="A311" s="28">
        <v>2737</v>
      </c>
      <c r="B311" s="3">
        <v>828</v>
      </c>
      <c r="C311" s="3">
        <v>326</v>
      </c>
      <c r="D311" s="3">
        <v>1441</v>
      </c>
      <c r="E311" s="3">
        <v>141</v>
      </c>
      <c r="F311" s="77">
        <v>1.4119999999999999</v>
      </c>
      <c r="G311" s="77">
        <v>1.383</v>
      </c>
      <c r="H311" s="77">
        <v>1.423</v>
      </c>
      <c r="I311" s="77">
        <v>1.341</v>
      </c>
      <c r="J311" s="3">
        <v>401</v>
      </c>
      <c r="K311" s="16">
        <v>0.27430555555555558</v>
      </c>
      <c r="L311" s="5">
        <v>45967</v>
      </c>
      <c r="M311" s="17">
        <v>0.99</v>
      </c>
      <c r="N311" s="22">
        <v>1.1639999999999999</v>
      </c>
      <c r="O311" s="22">
        <f>+MAX(Tabla4[[#This Row],[6KWA]:[9KWA]])</f>
        <v>1.423</v>
      </c>
      <c r="P311" s="3">
        <f t="shared" si="37"/>
        <v>6</v>
      </c>
      <c r="Q311" s="3">
        <f t="shared" si="38"/>
        <v>11</v>
      </c>
      <c r="R311" s="3">
        <f t="shared" si="39"/>
        <v>45</v>
      </c>
      <c r="S311" s="3" t="str">
        <f t="shared" si="40"/>
        <v>noviembre</v>
      </c>
      <c r="T311" s="21">
        <f t="shared" si="41"/>
        <v>494.2</v>
      </c>
      <c r="U311" s="21">
        <f t="shared" si="42"/>
        <v>484.05</v>
      </c>
      <c r="V311" s="21">
        <f t="shared" si="43"/>
        <v>498.05</v>
      </c>
      <c r="W311" s="21">
        <f>+Tabla4[[#This Row],[9KWA]]*350</f>
        <v>469.34999999999997</v>
      </c>
      <c r="X311" s="21">
        <f>350*Tabla4[[#This Row],[Max Factor Medido]]</f>
        <v>498.05</v>
      </c>
      <c r="Y311" s="39">
        <v>0.94</v>
      </c>
      <c r="Z311" s="3">
        <f t="shared" si="44"/>
        <v>2025</v>
      </c>
      <c r="AA311" s="21">
        <f>+MEDIAN(Tabla4[[#This Row],[kwreal 6]:[kwreal 9]])</f>
        <v>489.125</v>
      </c>
      <c r="AB311" s="21">
        <f>+Tabla4[[#This Row],[LineaBase-FD]]/350</f>
        <v>1.3975</v>
      </c>
    </row>
    <row r="312" spans="1:28" x14ac:dyDescent="0.3">
      <c r="A312" s="28">
        <v>2769</v>
      </c>
      <c r="B312" s="3">
        <v>842</v>
      </c>
      <c r="C312" s="3">
        <v>331</v>
      </c>
      <c r="D312" s="3">
        <v>1454</v>
      </c>
      <c r="E312" s="3">
        <v>141</v>
      </c>
      <c r="F312" s="77">
        <v>1.5129999999999999</v>
      </c>
      <c r="G312" s="77">
        <v>1.427</v>
      </c>
      <c r="H312" s="77">
        <v>1.423</v>
      </c>
      <c r="I312" s="77">
        <v>1.341</v>
      </c>
      <c r="J312" s="3">
        <v>405</v>
      </c>
      <c r="K312" s="16">
        <v>0.34861111111111109</v>
      </c>
      <c r="L312" s="5">
        <v>45968</v>
      </c>
      <c r="M312" s="17">
        <v>0.99</v>
      </c>
      <c r="N312" s="22">
        <v>1.1379999999999999</v>
      </c>
      <c r="O312" s="22">
        <f>+MAX(Tabla4[[#This Row],[6KWA]:[9KWA]])</f>
        <v>1.5129999999999999</v>
      </c>
      <c r="P312" s="3">
        <f t="shared" si="37"/>
        <v>7</v>
      </c>
      <c r="Q312" s="3">
        <f t="shared" si="38"/>
        <v>11</v>
      </c>
      <c r="R312" s="3">
        <f t="shared" si="39"/>
        <v>45</v>
      </c>
      <c r="S312" s="3" t="str">
        <f t="shared" si="40"/>
        <v>noviembre</v>
      </c>
      <c r="T312" s="21">
        <f t="shared" si="41"/>
        <v>529.54999999999995</v>
      </c>
      <c r="U312" s="21">
        <f t="shared" si="42"/>
        <v>499.45</v>
      </c>
      <c r="V312" s="21">
        <f t="shared" si="43"/>
        <v>498.05</v>
      </c>
      <c r="W312" s="21">
        <f>+Tabla4[[#This Row],[9KWA]]*350</f>
        <v>469.34999999999997</v>
      </c>
      <c r="X312" s="21">
        <f>350*Tabla4[[#This Row],[Max Factor Medido]]</f>
        <v>529.54999999999995</v>
      </c>
      <c r="Y312" s="39">
        <v>0.94</v>
      </c>
      <c r="Z312" s="3">
        <f t="shared" si="44"/>
        <v>2025</v>
      </c>
      <c r="AA312" s="21">
        <f>+MEDIAN(Tabla4[[#This Row],[kwreal 6]:[kwreal 9]])</f>
        <v>498.75</v>
      </c>
      <c r="AB312" s="21">
        <f>+Tabla4[[#This Row],[LineaBase-FD]]/350</f>
        <v>1.425</v>
      </c>
    </row>
    <row r="313" spans="1:28" x14ac:dyDescent="0.3">
      <c r="A313" s="28">
        <v>2797</v>
      </c>
      <c r="B313" s="3">
        <v>854</v>
      </c>
      <c r="C313" s="3">
        <v>336</v>
      </c>
      <c r="D313" s="3">
        <v>1465</v>
      </c>
      <c r="E313" s="3">
        <v>141</v>
      </c>
      <c r="F313" s="77">
        <v>1.5129999999999999</v>
      </c>
      <c r="G313" s="77">
        <v>1.427</v>
      </c>
      <c r="H313" s="77">
        <v>1.423</v>
      </c>
      <c r="I313" s="77">
        <v>1.341</v>
      </c>
      <c r="J313" s="3">
        <v>408</v>
      </c>
      <c r="K313" s="16">
        <v>0.28680555555555554</v>
      </c>
      <c r="L313" s="5">
        <v>45969</v>
      </c>
      <c r="M313" s="17">
        <v>0.98</v>
      </c>
      <c r="N313" s="22">
        <v>1.1100000000000001</v>
      </c>
      <c r="O313" s="22">
        <f>+MAX(Tabla4[[#This Row],[6KWA]:[9KWA]])</f>
        <v>1.5129999999999999</v>
      </c>
      <c r="P313" s="3">
        <f t="shared" si="37"/>
        <v>8</v>
      </c>
      <c r="Q313" s="3">
        <f t="shared" si="38"/>
        <v>11</v>
      </c>
      <c r="R313" s="3">
        <f t="shared" si="39"/>
        <v>45</v>
      </c>
      <c r="S313" s="3" t="str">
        <f t="shared" si="40"/>
        <v>noviembre</v>
      </c>
      <c r="T313" s="21">
        <f t="shared" si="41"/>
        <v>529.54999999999995</v>
      </c>
      <c r="U313" s="21">
        <f t="shared" si="42"/>
        <v>499.45</v>
      </c>
      <c r="V313" s="21">
        <f t="shared" si="43"/>
        <v>498.05</v>
      </c>
      <c r="W313" s="21">
        <f>+Tabla4[[#This Row],[9KWA]]*350</f>
        <v>469.34999999999997</v>
      </c>
      <c r="X313" s="21">
        <f>350*Tabla4[[#This Row],[Max Factor Medido]]</f>
        <v>529.54999999999995</v>
      </c>
      <c r="Y313" s="39">
        <v>0.94</v>
      </c>
      <c r="Z313" s="3">
        <f t="shared" si="44"/>
        <v>2025</v>
      </c>
      <c r="AA313" s="21">
        <f>+MEDIAN(Tabla4[[#This Row],[kwreal 6]:[kwreal 9]])</f>
        <v>498.75</v>
      </c>
      <c r="AB313" s="21">
        <f>+Tabla4[[#This Row],[LineaBase-FD]]/350</f>
        <v>1.425</v>
      </c>
    </row>
    <row r="314" spans="1:28" x14ac:dyDescent="0.3">
      <c r="A314" s="28">
        <v>2827</v>
      </c>
      <c r="B314" s="3">
        <v>854</v>
      </c>
      <c r="C314" s="3">
        <v>336</v>
      </c>
      <c r="D314" s="3">
        <v>1489</v>
      </c>
      <c r="E314" s="3">
        <v>146</v>
      </c>
      <c r="F314" s="77">
        <v>1.5129999999999999</v>
      </c>
      <c r="G314" s="77">
        <v>1.427</v>
      </c>
      <c r="H314" s="77">
        <v>1.4670000000000001</v>
      </c>
      <c r="I314" s="77">
        <v>1.353</v>
      </c>
      <c r="J314" s="3">
        <v>412</v>
      </c>
      <c r="K314" s="16">
        <v>0.28749999999999998</v>
      </c>
      <c r="L314" s="5">
        <v>45970</v>
      </c>
      <c r="M314" s="17">
        <v>0.98</v>
      </c>
      <c r="N314" s="22">
        <v>1.3260000000000001</v>
      </c>
      <c r="O314" s="22">
        <f>+MAX(Tabla4[[#This Row],[6KWA]:[9KWA]])</f>
        <v>1.5129999999999999</v>
      </c>
      <c r="P314" s="3">
        <f t="shared" si="37"/>
        <v>9</v>
      </c>
      <c r="Q314" s="3">
        <f t="shared" si="38"/>
        <v>11</v>
      </c>
      <c r="R314" s="3">
        <f t="shared" si="39"/>
        <v>46</v>
      </c>
      <c r="S314" s="3" t="str">
        <f t="shared" si="40"/>
        <v>noviembre</v>
      </c>
      <c r="T314" s="21">
        <f t="shared" si="41"/>
        <v>529.54999999999995</v>
      </c>
      <c r="U314" s="21">
        <f t="shared" si="42"/>
        <v>499.45</v>
      </c>
      <c r="V314" s="21">
        <f t="shared" si="43"/>
        <v>513.45000000000005</v>
      </c>
      <c r="W314" s="21">
        <f>+Tabla4[[#This Row],[9KWA]]*350</f>
        <v>473.55</v>
      </c>
      <c r="X314" s="21">
        <f>350*Tabla4[[#This Row],[Max Factor Medido]]</f>
        <v>529.54999999999995</v>
      </c>
      <c r="Y314" s="39">
        <v>0.94</v>
      </c>
      <c r="Z314" s="3">
        <f t="shared" si="44"/>
        <v>2025</v>
      </c>
      <c r="AA314" s="21">
        <f>+MEDIAN(Tabla4[[#This Row],[kwreal 6]:[kwreal 9]])</f>
        <v>506.45000000000005</v>
      </c>
      <c r="AB314" s="21">
        <f>+Tabla4[[#This Row],[LineaBase-FD]]/350</f>
        <v>1.4470000000000001</v>
      </c>
    </row>
    <row r="315" spans="1:28" x14ac:dyDescent="0.3">
      <c r="A315" s="29">
        <v>2856</v>
      </c>
      <c r="B315" s="2">
        <v>854</v>
      </c>
      <c r="C315" s="2">
        <v>336</v>
      </c>
      <c r="D315" s="2">
        <v>1513</v>
      </c>
      <c r="E315" s="2">
        <v>151</v>
      </c>
      <c r="F315" s="77">
        <v>1.5129999999999999</v>
      </c>
      <c r="G315" s="77">
        <v>1.427</v>
      </c>
      <c r="H315" s="77">
        <v>1.4670000000000001</v>
      </c>
      <c r="I315" s="77">
        <v>1.353</v>
      </c>
      <c r="J315" s="2">
        <v>415</v>
      </c>
      <c r="K315" s="16">
        <v>0.29236111111111113</v>
      </c>
      <c r="L315" s="6">
        <v>45971</v>
      </c>
      <c r="M315" s="11">
        <v>0.98</v>
      </c>
      <c r="N315" s="22">
        <v>1.0489999999999999</v>
      </c>
      <c r="O315" s="22">
        <f>+MAX(Tabla4[[#This Row],[6KWA]:[9KWA]])</f>
        <v>1.5129999999999999</v>
      </c>
      <c r="P315" s="3">
        <f t="shared" si="37"/>
        <v>10</v>
      </c>
      <c r="Q315" s="3">
        <f t="shared" si="38"/>
        <v>11</v>
      </c>
      <c r="R315" s="3">
        <f t="shared" si="39"/>
        <v>46</v>
      </c>
      <c r="S315" s="3" t="str">
        <f t="shared" si="40"/>
        <v>noviembre</v>
      </c>
      <c r="T315" s="21">
        <f t="shared" si="41"/>
        <v>529.54999999999995</v>
      </c>
      <c r="U315" s="21">
        <f t="shared" si="42"/>
        <v>499.45</v>
      </c>
      <c r="V315" s="21">
        <f t="shared" si="43"/>
        <v>513.45000000000005</v>
      </c>
      <c r="W315" s="21">
        <f>+Tabla4[[#This Row],[9KWA]]*350</f>
        <v>473.55</v>
      </c>
      <c r="X315" s="21">
        <f>350*Tabla4[[#This Row],[Max Factor Medido]]</f>
        <v>529.54999999999995</v>
      </c>
      <c r="Y315" s="39">
        <v>0.94</v>
      </c>
      <c r="Z315" s="3">
        <f t="shared" si="44"/>
        <v>2025</v>
      </c>
      <c r="AA315" s="21">
        <f>+MEDIAN(Tabla4[[#This Row],[kwreal 6]:[kwreal 9]])</f>
        <v>506.45000000000005</v>
      </c>
      <c r="AB315" s="21">
        <f>+Tabla4[[#This Row],[LineaBase-FD]]/350</f>
        <v>1.4470000000000001</v>
      </c>
    </row>
    <row r="316" spans="1:28" x14ac:dyDescent="0.3">
      <c r="A316" s="29">
        <v>2888</v>
      </c>
      <c r="B316" s="2">
        <v>868</v>
      </c>
      <c r="C316" s="2">
        <v>341</v>
      </c>
      <c r="D316" s="2">
        <v>1526</v>
      </c>
      <c r="E316" s="2">
        <v>151</v>
      </c>
      <c r="F316" s="77">
        <v>1.5129999999999999</v>
      </c>
      <c r="G316" s="77">
        <v>1.427</v>
      </c>
      <c r="H316" s="77">
        <v>1.4670000000000001</v>
      </c>
      <c r="I316" s="77">
        <v>1.353</v>
      </c>
      <c r="J316" s="2">
        <v>419</v>
      </c>
      <c r="K316" s="16">
        <v>0.3576388888888889</v>
      </c>
      <c r="L316" s="6">
        <v>45972</v>
      </c>
      <c r="M316" s="11">
        <v>0.99</v>
      </c>
      <c r="N316" s="22">
        <v>1.2210000000000001</v>
      </c>
      <c r="O316" s="22">
        <f>+MAX(Tabla4[[#This Row],[6KWA]:[9KWA]])</f>
        <v>1.5129999999999999</v>
      </c>
      <c r="P316" s="3">
        <f t="shared" si="37"/>
        <v>11</v>
      </c>
      <c r="Q316" s="3">
        <f t="shared" si="38"/>
        <v>11</v>
      </c>
      <c r="R316" s="3">
        <f t="shared" si="39"/>
        <v>46</v>
      </c>
      <c r="S316" s="3" t="str">
        <f t="shared" si="40"/>
        <v>noviembre</v>
      </c>
      <c r="T316" s="21">
        <f t="shared" si="41"/>
        <v>529.54999999999995</v>
      </c>
      <c r="U316" s="21">
        <f t="shared" si="42"/>
        <v>499.45</v>
      </c>
      <c r="V316" s="21">
        <f t="shared" si="43"/>
        <v>513.45000000000005</v>
      </c>
      <c r="W316" s="21">
        <f>+Tabla4[[#This Row],[9KWA]]*350</f>
        <v>473.55</v>
      </c>
      <c r="X316" s="21">
        <f>350*Tabla4[[#This Row],[Max Factor Medido]]</f>
        <v>529.54999999999995</v>
      </c>
      <c r="Y316" s="39">
        <v>0.94</v>
      </c>
      <c r="Z316" s="3">
        <f t="shared" si="44"/>
        <v>2025</v>
      </c>
      <c r="AA316" s="21">
        <f>+MEDIAN(Tabla4[[#This Row],[kwreal 6]:[kwreal 9]])</f>
        <v>506.45000000000005</v>
      </c>
      <c r="AB316" s="21">
        <f>+Tabla4[[#This Row],[LineaBase-FD]]/350</f>
        <v>1.4470000000000001</v>
      </c>
    </row>
    <row r="317" spans="1:28" x14ac:dyDescent="0.3">
      <c r="A317" s="28">
        <v>2915</v>
      </c>
      <c r="B317" s="3">
        <v>880</v>
      </c>
      <c r="C317" s="3">
        <v>346</v>
      </c>
      <c r="D317" s="3">
        <v>1536</v>
      </c>
      <c r="E317" s="3">
        <v>151</v>
      </c>
      <c r="F317" s="77">
        <v>1.5129999999999999</v>
      </c>
      <c r="G317" s="77">
        <v>1.427</v>
      </c>
      <c r="H317" s="77">
        <v>1.4670000000000001</v>
      </c>
      <c r="I317" s="77">
        <v>1.353</v>
      </c>
      <c r="J317" s="3">
        <v>421</v>
      </c>
      <c r="K317" s="16">
        <v>0.27152777777777776</v>
      </c>
      <c r="L317" s="5">
        <v>46002</v>
      </c>
      <c r="M317" s="17">
        <v>0.99</v>
      </c>
      <c r="N317" s="22">
        <v>1.2410000000000001</v>
      </c>
      <c r="O317" s="22">
        <f>+MAX(Tabla4[[#This Row],[6KWA]:[9KWA]])</f>
        <v>1.5129999999999999</v>
      </c>
      <c r="P317" s="3">
        <f t="shared" si="37"/>
        <v>11</v>
      </c>
      <c r="Q317" s="3">
        <f t="shared" si="38"/>
        <v>12</v>
      </c>
      <c r="R317" s="3">
        <f t="shared" si="39"/>
        <v>50</v>
      </c>
      <c r="S317" s="3" t="str">
        <f t="shared" si="40"/>
        <v>diciembre</v>
      </c>
      <c r="T317" s="21">
        <f t="shared" si="41"/>
        <v>529.54999999999995</v>
      </c>
      <c r="U317" s="21">
        <f t="shared" si="42"/>
        <v>499.45</v>
      </c>
      <c r="V317" s="21">
        <f t="shared" si="43"/>
        <v>513.45000000000005</v>
      </c>
      <c r="W317" s="21">
        <f>+Tabla4[[#This Row],[9KWA]]*350</f>
        <v>473.55</v>
      </c>
      <c r="X317" s="21">
        <f>350*Tabla4[[#This Row],[Max Factor Medido]]</f>
        <v>529.54999999999995</v>
      </c>
      <c r="Y317" s="39">
        <v>0.94</v>
      </c>
      <c r="Z317" s="3">
        <f t="shared" si="44"/>
        <v>2025</v>
      </c>
      <c r="AA317" s="21">
        <f>+MEDIAN(Tabla4[[#This Row],[kwreal 6]:[kwreal 9]])</f>
        <v>506.45000000000005</v>
      </c>
      <c r="AB317" s="21">
        <f>+Tabla4[[#This Row],[LineaBase-FD]]/350</f>
        <v>1.4470000000000001</v>
      </c>
    </row>
    <row r="318" spans="1:28" x14ac:dyDescent="0.3">
      <c r="A318" s="28">
        <v>2945</v>
      </c>
      <c r="B318" s="3">
        <v>893</v>
      </c>
      <c r="C318" s="3">
        <v>351</v>
      </c>
      <c r="D318" s="14">
        <v>1548</v>
      </c>
      <c r="E318" s="3">
        <v>151</v>
      </c>
      <c r="F318" s="77">
        <v>1.5129999999999999</v>
      </c>
      <c r="G318" s="77">
        <v>1.427</v>
      </c>
      <c r="H318" s="77">
        <v>1.4670000000000001</v>
      </c>
      <c r="I318" s="77">
        <v>1.353</v>
      </c>
      <c r="J318" s="3">
        <v>425</v>
      </c>
      <c r="K318" s="16">
        <v>0.3576388888888889</v>
      </c>
      <c r="L318" s="1">
        <v>45974</v>
      </c>
      <c r="M318" s="17">
        <v>0.99</v>
      </c>
      <c r="N318" s="22">
        <v>1.1759999999999999</v>
      </c>
      <c r="O318" s="22">
        <f>+MAX(Tabla4[[#This Row],[6KWA]:[9KWA]])</f>
        <v>1.5129999999999999</v>
      </c>
      <c r="P318" s="3">
        <f t="shared" si="37"/>
        <v>13</v>
      </c>
      <c r="Q318" s="3">
        <f t="shared" si="38"/>
        <v>11</v>
      </c>
      <c r="R318" s="3">
        <f t="shared" si="39"/>
        <v>46</v>
      </c>
      <c r="S318" s="3" t="str">
        <f t="shared" si="40"/>
        <v>noviembre</v>
      </c>
      <c r="T318" s="21">
        <f t="shared" si="41"/>
        <v>529.54999999999995</v>
      </c>
      <c r="U318" s="21">
        <f t="shared" si="42"/>
        <v>499.45</v>
      </c>
      <c r="V318" s="21">
        <f t="shared" si="43"/>
        <v>513.45000000000005</v>
      </c>
      <c r="W318" s="21">
        <f>+Tabla4[[#This Row],[9KWA]]*350</f>
        <v>473.55</v>
      </c>
      <c r="X318" s="21">
        <f>350*Tabla4[[#This Row],[Max Factor Medido]]</f>
        <v>529.54999999999995</v>
      </c>
      <c r="Y318" s="39">
        <v>0.94</v>
      </c>
      <c r="Z318" s="3">
        <f t="shared" si="44"/>
        <v>2025</v>
      </c>
      <c r="AA318" s="21">
        <f>+MEDIAN(Tabla4[[#This Row],[kwreal 6]:[kwreal 9]])</f>
        <v>506.45000000000005</v>
      </c>
      <c r="AB318" s="21">
        <f>+Tabla4[[#This Row],[LineaBase-FD]]/350</f>
        <v>1.4470000000000001</v>
      </c>
    </row>
    <row r="319" spans="1:28" x14ac:dyDescent="0.3">
      <c r="A319" s="28">
        <v>2976</v>
      </c>
      <c r="B319" s="3">
        <v>907</v>
      </c>
      <c r="C319" s="3">
        <v>356</v>
      </c>
      <c r="D319" s="3">
        <v>1560</v>
      </c>
      <c r="E319" s="3">
        <v>151</v>
      </c>
      <c r="F319" s="77">
        <v>1.5129999999999999</v>
      </c>
      <c r="G319" s="77">
        <v>1.427</v>
      </c>
      <c r="H319" s="77">
        <v>1.4670000000000001</v>
      </c>
      <c r="I319" s="77">
        <v>1.353</v>
      </c>
      <c r="J319" s="3">
        <v>429</v>
      </c>
      <c r="K319" s="16">
        <v>0.29236111111111113</v>
      </c>
      <c r="L319" s="5">
        <v>45975</v>
      </c>
      <c r="M319" s="17">
        <v>0.99</v>
      </c>
      <c r="N319" s="22">
        <v>1.1499999999999999</v>
      </c>
      <c r="O319" s="22">
        <f>+MAX(Tabla4[[#This Row],[6KWA]:[9KWA]])</f>
        <v>1.5129999999999999</v>
      </c>
      <c r="P319" s="3">
        <f t="shared" si="37"/>
        <v>14</v>
      </c>
      <c r="Q319" s="3">
        <f t="shared" si="38"/>
        <v>11</v>
      </c>
      <c r="R319" s="3">
        <f t="shared" si="39"/>
        <v>46</v>
      </c>
      <c r="S319" s="3" t="str">
        <f t="shared" si="40"/>
        <v>noviembre</v>
      </c>
      <c r="T319" s="21">
        <f t="shared" si="41"/>
        <v>529.54999999999995</v>
      </c>
      <c r="U319" s="21">
        <f t="shared" si="42"/>
        <v>499.45</v>
      </c>
      <c r="V319" s="21">
        <f t="shared" si="43"/>
        <v>513.45000000000005</v>
      </c>
      <c r="W319" s="21">
        <f>+Tabla4[[#This Row],[9KWA]]*350</f>
        <v>473.55</v>
      </c>
      <c r="X319" s="21">
        <f>350*Tabla4[[#This Row],[Max Factor Medido]]</f>
        <v>529.54999999999995</v>
      </c>
      <c r="Y319" s="39">
        <v>0.94</v>
      </c>
      <c r="Z319" s="3">
        <f t="shared" si="44"/>
        <v>2025</v>
      </c>
      <c r="AA319" s="21">
        <f>+MEDIAN(Tabla4[[#This Row],[kwreal 6]:[kwreal 9]])</f>
        <v>506.45000000000005</v>
      </c>
      <c r="AB319" s="21">
        <f>+Tabla4[[#This Row],[LineaBase-FD]]/350</f>
        <v>1.4470000000000001</v>
      </c>
    </row>
    <row r="320" spans="1:28" x14ac:dyDescent="0.3">
      <c r="A320" s="28">
        <v>3007</v>
      </c>
      <c r="B320" s="3">
        <v>921</v>
      </c>
      <c r="C320" s="3">
        <v>362</v>
      </c>
      <c r="D320" s="3">
        <v>1572</v>
      </c>
      <c r="E320" s="3">
        <v>151</v>
      </c>
      <c r="F320" s="77">
        <v>1.526</v>
      </c>
      <c r="G320" s="77">
        <v>1.427</v>
      </c>
      <c r="H320" s="77">
        <v>1.4670000000000001</v>
      </c>
      <c r="I320" s="77">
        <v>1.353</v>
      </c>
      <c r="J320" s="3">
        <v>433</v>
      </c>
      <c r="K320" s="16">
        <v>0.29444444444444445</v>
      </c>
      <c r="L320" s="5">
        <v>45976</v>
      </c>
      <c r="M320" s="17">
        <v>0.98</v>
      </c>
      <c r="N320" s="22">
        <v>1.194</v>
      </c>
      <c r="O320" s="22">
        <f>+MAX(Tabla4[[#This Row],[6KWA]:[9KWA]])</f>
        <v>1.526</v>
      </c>
      <c r="P320" s="3">
        <f t="shared" si="37"/>
        <v>15</v>
      </c>
      <c r="Q320" s="3">
        <f t="shared" si="38"/>
        <v>11</v>
      </c>
      <c r="R320" s="3">
        <f t="shared" si="39"/>
        <v>46</v>
      </c>
      <c r="S320" s="3" t="str">
        <f t="shared" si="40"/>
        <v>noviembre</v>
      </c>
      <c r="T320" s="21">
        <f t="shared" si="41"/>
        <v>534.1</v>
      </c>
      <c r="U320" s="21">
        <f t="shared" si="42"/>
        <v>499.45</v>
      </c>
      <c r="V320" s="21">
        <f t="shared" si="43"/>
        <v>513.45000000000005</v>
      </c>
      <c r="W320" s="21">
        <f>+Tabla4[[#This Row],[9KWA]]*350</f>
        <v>473.55</v>
      </c>
      <c r="X320" s="21">
        <f>350*Tabla4[[#This Row],[Max Factor Medido]]</f>
        <v>534.1</v>
      </c>
      <c r="Y320" s="39">
        <v>0.94</v>
      </c>
      <c r="Z320" s="3">
        <f t="shared" si="44"/>
        <v>2025</v>
      </c>
      <c r="AA320" s="21">
        <f>+MEDIAN(Tabla4[[#This Row],[kwreal 6]:[kwreal 9]])</f>
        <v>506.45000000000005</v>
      </c>
      <c r="AB320" s="21">
        <f>+Tabla4[[#This Row],[LineaBase-FD]]/350</f>
        <v>1.4470000000000001</v>
      </c>
    </row>
    <row r="321" spans="1:28" x14ac:dyDescent="0.3">
      <c r="A321" s="29">
        <v>3035</v>
      </c>
      <c r="B321" s="2">
        <v>921</v>
      </c>
      <c r="C321" s="2">
        <v>362</v>
      </c>
      <c r="D321" s="2">
        <v>1590</v>
      </c>
      <c r="E321" s="2">
        <v>156</v>
      </c>
      <c r="F321" s="77">
        <v>1.526</v>
      </c>
      <c r="G321" s="77">
        <v>1.427</v>
      </c>
      <c r="H321" s="77">
        <v>1.5029999999999999</v>
      </c>
      <c r="I321" s="77">
        <v>1.371</v>
      </c>
      <c r="J321" s="2">
        <v>437</v>
      </c>
      <c r="K321" s="16">
        <v>0.33675925925925926</v>
      </c>
      <c r="L321" s="6">
        <v>45977</v>
      </c>
      <c r="M321" s="11">
        <v>0.98</v>
      </c>
      <c r="N321" s="22">
        <v>1.05</v>
      </c>
      <c r="O321" s="22">
        <f>+MAX(Tabla4[[#This Row],[6KWA]:[9KWA]])</f>
        <v>1.526</v>
      </c>
      <c r="P321" s="3">
        <f t="shared" si="37"/>
        <v>16</v>
      </c>
      <c r="Q321" s="3">
        <f t="shared" si="38"/>
        <v>11</v>
      </c>
      <c r="R321" s="3">
        <f t="shared" si="39"/>
        <v>47</v>
      </c>
      <c r="S321" s="3" t="str">
        <f t="shared" si="40"/>
        <v>noviembre</v>
      </c>
      <c r="T321" s="21">
        <f t="shared" si="41"/>
        <v>534.1</v>
      </c>
      <c r="U321" s="21">
        <f t="shared" si="42"/>
        <v>499.45</v>
      </c>
      <c r="V321" s="21">
        <f t="shared" si="43"/>
        <v>526.04999999999995</v>
      </c>
      <c r="W321" s="21">
        <f>+Tabla4[[#This Row],[9KWA]]*350</f>
        <v>479.85</v>
      </c>
      <c r="X321" s="21">
        <f>350*Tabla4[[#This Row],[Max Factor Medido]]</f>
        <v>534.1</v>
      </c>
      <c r="Y321" s="39">
        <v>0.94</v>
      </c>
      <c r="Z321" s="3">
        <f t="shared" si="44"/>
        <v>2025</v>
      </c>
      <c r="AA321" s="21">
        <f>+MEDIAN(Tabla4[[#This Row],[kwreal 6]:[kwreal 9]])</f>
        <v>512.75</v>
      </c>
      <c r="AB321" s="21">
        <f>+Tabla4[[#This Row],[LineaBase-FD]]/350</f>
        <v>1.4650000000000001</v>
      </c>
    </row>
    <row r="322" spans="1:28" x14ac:dyDescent="0.3">
      <c r="A322" s="29">
        <v>3063</v>
      </c>
      <c r="B322" s="2">
        <v>921</v>
      </c>
      <c r="C322" s="2">
        <v>362</v>
      </c>
      <c r="D322" s="2">
        <v>1619</v>
      </c>
      <c r="E322" s="2">
        <v>161</v>
      </c>
      <c r="F322" s="77">
        <v>1.526</v>
      </c>
      <c r="G322" s="77">
        <v>1.427</v>
      </c>
      <c r="H322" s="77">
        <v>1.5029999999999999</v>
      </c>
      <c r="I322" s="77">
        <v>1.371</v>
      </c>
      <c r="J322" s="2">
        <v>440</v>
      </c>
      <c r="K322" s="16">
        <v>0.29444444444444445</v>
      </c>
      <c r="L322" s="6">
        <v>45978</v>
      </c>
      <c r="M322" s="11">
        <v>0.98</v>
      </c>
      <c r="N322" s="22">
        <v>1.1499999999999999</v>
      </c>
      <c r="O322" s="22">
        <f>+MAX(Tabla4[[#This Row],[6KWA]:[9KWA]])</f>
        <v>1.526</v>
      </c>
      <c r="P322" s="3">
        <f t="shared" ref="P322:P364" si="46">+DAY(L322)</f>
        <v>17</v>
      </c>
      <c r="Q322" s="3">
        <f t="shared" ref="Q322:Q364" si="47">+MONTH(L322)</f>
        <v>11</v>
      </c>
      <c r="R322" s="3">
        <f t="shared" ref="R322:R385" si="48">WEEKNUM(L322)</f>
        <v>47</v>
      </c>
      <c r="S322" s="3" t="str">
        <f t="shared" ref="S322:S385" si="49">TEXT(L322,"mmmm")</f>
        <v>noviembre</v>
      </c>
      <c r="T322" s="21">
        <f t="shared" ref="T322:T364" si="50">350*F322</f>
        <v>534.1</v>
      </c>
      <c r="U322" s="21">
        <f t="shared" ref="U322:U364" si="51">350*G322</f>
        <v>499.45</v>
      </c>
      <c r="V322" s="21">
        <f t="shared" ref="V322:V364" si="52">350*H322</f>
        <v>526.04999999999995</v>
      </c>
      <c r="W322" s="21">
        <f>+Tabla4[[#This Row],[9KWA]]*350</f>
        <v>479.85</v>
      </c>
      <c r="X322" s="21">
        <f>350*Tabla4[[#This Row],[Max Factor Medido]]</f>
        <v>534.1</v>
      </c>
      <c r="Y322" s="39">
        <v>0.94</v>
      </c>
      <c r="Z322" s="3">
        <f t="shared" ref="Z322:Z365" si="53">+YEAR(L322)</f>
        <v>2025</v>
      </c>
      <c r="AA322" s="21">
        <f>+MEDIAN(Tabla4[[#This Row],[kwreal 6]:[kwreal 9]])</f>
        <v>512.75</v>
      </c>
      <c r="AB322" s="21">
        <f>+Tabla4[[#This Row],[LineaBase-FD]]/350</f>
        <v>1.4650000000000001</v>
      </c>
    </row>
    <row r="323" spans="1:28" x14ac:dyDescent="0.3">
      <c r="A323" s="28">
        <v>3093</v>
      </c>
      <c r="B323" s="3">
        <v>933</v>
      </c>
      <c r="C323" s="3">
        <v>367</v>
      </c>
      <c r="D323" s="3">
        <v>1631</v>
      </c>
      <c r="E323" s="3">
        <v>161</v>
      </c>
      <c r="F323" s="77">
        <v>1.526</v>
      </c>
      <c r="G323" s="77">
        <v>1.427</v>
      </c>
      <c r="H323" s="77">
        <v>1.5029999999999999</v>
      </c>
      <c r="I323" s="77">
        <v>1.371</v>
      </c>
      <c r="J323" s="3">
        <v>444</v>
      </c>
      <c r="K323" s="16">
        <v>0.30069444444444443</v>
      </c>
      <c r="L323" s="5">
        <v>45979</v>
      </c>
      <c r="M323" s="17">
        <v>0.99</v>
      </c>
      <c r="N323" s="22">
        <v>1.1599999999999999</v>
      </c>
      <c r="O323" s="22">
        <f>+MAX(Tabla4[[#This Row],[6KWA]:[9KWA]])</f>
        <v>1.526</v>
      </c>
      <c r="P323" s="3">
        <f t="shared" si="46"/>
        <v>18</v>
      </c>
      <c r="Q323" s="3">
        <f t="shared" si="47"/>
        <v>11</v>
      </c>
      <c r="R323" s="3">
        <f t="shared" si="48"/>
        <v>47</v>
      </c>
      <c r="S323" s="3" t="str">
        <f t="shared" si="49"/>
        <v>noviembre</v>
      </c>
      <c r="T323" s="21">
        <f t="shared" si="50"/>
        <v>534.1</v>
      </c>
      <c r="U323" s="21">
        <f t="shared" si="51"/>
        <v>499.45</v>
      </c>
      <c r="V323" s="21">
        <f t="shared" si="52"/>
        <v>526.04999999999995</v>
      </c>
      <c r="W323" s="21">
        <f>+Tabla4[[#This Row],[9KWA]]*350</f>
        <v>479.85</v>
      </c>
      <c r="X323" s="21">
        <f>350*Tabla4[[#This Row],[Max Factor Medido]]</f>
        <v>534.1</v>
      </c>
      <c r="Y323" s="39">
        <v>0.94</v>
      </c>
      <c r="Z323" s="3">
        <f t="shared" si="53"/>
        <v>2025</v>
      </c>
      <c r="AA323" s="21">
        <f>+MEDIAN(Tabla4[[#This Row],[kwreal 6]:[kwreal 9]])</f>
        <v>512.75</v>
      </c>
      <c r="AB323" s="21">
        <f>+Tabla4[[#This Row],[LineaBase-FD]]/350</f>
        <v>1.4650000000000001</v>
      </c>
    </row>
    <row r="324" spans="1:28" x14ac:dyDescent="0.3">
      <c r="A324" s="28">
        <v>3121</v>
      </c>
      <c r="B324" s="3">
        <v>945</v>
      </c>
      <c r="C324" s="3">
        <v>372</v>
      </c>
      <c r="D324" s="3">
        <v>1642</v>
      </c>
      <c r="E324" s="3">
        <v>161</v>
      </c>
      <c r="F324" s="77">
        <v>1.526</v>
      </c>
      <c r="G324" s="77">
        <v>1.427</v>
      </c>
      <c r="H324" s="77">
        <v>1.5029999999999999</v>
      </c>
      <c r="I324" s="77">
        <v>1.377</v>
      </c>
      <c r="J324" s="3">
        <v>447</v>
      </c>
      <c r="K324" s="16">
        <v>0.27569444444444446</v>
      </c>
      <c r="L324" s="5">
        <v>45980</v>
      </c>
      <c r="M324" s="17">
        <v>0.98</v>
      </c>
      <c r="N324" s="22">
        <v>1.1200000000000001</v>
      </c>
      <c r="O324" s="22">
        <f>+MAX(Tabla4[[#This Row],[6KWA]:[9KWA]])</f>
        <v>1.526</v>
      </c>
      <c r="P324" s="3">
        <f t="shared" si="46"/>
        <v>19</v>
      </c>
      <c r="Q324" s="3">
        <f t="shared" si="47"/>
        <v>11</v>
      </c>
      <c r="R324" s="3">
        <f t="shared" si="48"/>
        <v>47</v>
      </c>
      <c r="S324" s="3" t="str">
        <f t="shared" si="49"/>
        <v>noviembre</v>
      </c>
      <c r="T324" s="21">
        <f t="shared" si="50"/>
        <v>534.1</v>
      </c>
      <c r="U324" s="21">
        <f t="shared" si="51"/>
        <v>499.45</v>
      </c>
      <c r="V324" s="21">
        <f t="shared" si="52"/>
        <v>526.04999999999995</v>
      </c>
      <c r="W324" s="21">
        <f>+Tabla4[[#This Row],[9KWA]]*350</f>
        <v>481.95</v>
      </c>
      <c r="X324" s="21">
        <f>350*Tabla4[[#This Row],[Max Factor Medido]]</f>
        <v>534.1</v>
      </c>
      <c r="Y324" s="39">
        <v>0.94</v>
      </c>
      <c r="Z324" s="3">
        <f t="shared" si="53"/>
        <v>2025</v>
      </c>
      <c r="AA324" s="21">
        <f>+MEDIAN(Tabla4[[#This Row],[kwreal 6]:[kwreal 9]])</f>
        <v>512.75</v>
      </c>
      <c r="AB324" s="21">
        <f>+Tabla4[[#This Row],[LineaBase-FD]]/350</f>
        <v>1.4650000000000001</v>
      </c>
    </row>
    <row r="325" spans="1:28" x14ac:dyDescent="0.3">
      <c r="A325" s="28">
        <v>3151</v>
      </c>
      <c r="B325" s="3">
        <v>959</v>
      </c>
      <c r="C325" s="3">
        <v>377</v>
      </c>
      <c r="D325" s="3">
        <v>1654</v>
      </c>
      <c r="E325" s="3">
        <v>161</v>
      </c>
      <c r="F325" s="77">
        <v>1.526</v>
      </c>
      <c r="G325" s="77">
        <v>1.427</v>
      </c>
      <c r="H325" s="77">
        <v>1.5029999999999999</v>
      </c>
      <c r="I325" s="77">
        <v>1.377</v>
      </c>
      <c r="J325" s="3">
        <v>451</v>
      </c>
      <c r="K325" s="16">
        <v>0.27569444444444446</v>
      </c>
      <c r="L325" s="5">
        <v>45981</v>
      </c>
      <c r="M325" s="17">
        <v>0.96</v>
      </c>
      <c r="N325" s="22">
        <v>1.427</v>
      </c>
      <c r="O325" s="22">
        <f>+MAX(Tabla4[[#This Row],[6KWA]:[9KWA]])</f>
        <v>1.526</v>
      </c>
      <c r="P325" s="3">
        <f t="shared" si="46"/>
        <v>20</v>
      </c>
      <c r="Q325" s="3">
        <f t="shared" si="47"/>
        <v>11</v>
      </c>
      <c r="R325" s="3">
        <f t="shared" si="48"/>
        <v>47</v>
      </c>
      <c r="S325" s="3" t="str">
        <f t="shared" si="49"/>
        <v>noviembre</v>
      </c>
      <c r="T325" s="21">
        <f t="shared" si="50"/>
        <v>534.1</v>
      </c>
      <c r="U325" s="21">
        <f t="shared" si="51"/>
        <v>499.45</v>
      </c>
      <c r="V325" s="21">
        <f t="shared" si="52"/>
        <v>526.04999999999995</v>
      </c>
      <c r="W325" s="21">
        <f>+Tabla4[[#This Row],[9KWA]]*350</f>
        <v>481.95</v>
      </c>
      <c r="X325" s="21">
        <f>350*Tabla4[[#This Row],[Max Factor Medido]]</f>
        <v>534.1</v>
      </c>
      <c r="Y325" s="39">
        <v>0.94</v>
      </c>
      <c r="Z325" s="3">
        <f t="shared" si="53"/>
        <v>2025</v>
      </c>
      <c r="AA325" s="21">
        <f>+MEDIAN(Tabla4[[#This Row],[kwreal 6]:[kwreal 9]])</f>
        <v>512.75</v>
      </c>
      <c r="AB325" s="21">
        <f>+Tabla4[[#This Row],[LineaBase-FD]]/350</f>
        <v>1.4650000000000001</v>
      </c>
    </row>
    <row r="326" spans="1:28" x14ac:dyDescent="0.3">
      <c r="A326" s="28">
        <v>3182</v>
      </c>
      <c r="B326" s="3">
        <v>972</v>
      </c>
      <c r="C326" s="3">
        <v>382</v>
      </c>
      <c r="D326" s="3">
        <v>1667</v>
      </c>
      <c r="E326" s="3">
        <v>161</v>
      </c>
      <c r="F326" s="77">
        <v>1.526</v>
      </c>
      <c r="G326" s="77">
        <v>1.427</v>
      </c>
      <c r="H326" s="77">
        <v>1.5029999999999999</v>
      </c>
      <c r="I326" s="77">
        <v>1.371</v>
      </c>
      <c r="J326" s="3">
        <v>455</v>
      </c>
      <c r="K326" s="16">
        <v>0.29166666666666669</v>
      </c>
      <c r="L326" s="5">
        <v>45982</v>
      </c>
      <c r="M326" s="17">
        <v>0.99</v>
      </c>
      <c r="N326" s="22">
        <v>1.1240000000000001</v>
      </c>
      <c r="O326" s="22">
        <f>+MAX(Tabla4[[#This Row],[6KWA]:[9KWA]])</f>
        <v>1.526</v>
      </c>
      <c r="P326" s="3">
        <f t="shared" si="46"/>
        <v>21</v>
      </c>
      <c r="Q326" s="3">
        <f t="shared" si="47"/>
        <v>11</v>
      </c>
      <c r="R326" s="3">
        <f t="shared" si="48"/>
        <v>47</v>
      </c>
      <c r="S326" s="3" t="str">
        <f t="shared" si="49"/>
        <v>noviembre</v>
      </c>
      <c r="T326" s="21">
        <f t="shared" si="50"/>
        <v>534.1</v>
      </c>
      <c r="U326" s="21">
        <f t="shared" si="51"/>
        <v>499.45</v>
      </c>
      <c r="V326" s="21">
        <f t="shared" si="52"/>
        <v>526.04999999999995</v>
      </c>
      <c r="W326" s="21">
        <f>+Tabla4[[#This Row],[9KWA]]*350</f>
        <v>479.85</v>
      </c>
      <c r="X326" s="21">
        <f>350*Tabla4[[#This Row],[Max Factor Medido]]</f>
        <v>534.1</v>
      </c>
      <c r="Y326" s="39">
        <v>0.94</v>
      </c>
      <c r="Z326" s="3">
        <f t="shared" si="53"/>
        <v>2025</v>
      </c>
      <c r="AA326" s="21">
        <f>+MEDIAN(Tabla4[[#This Row],[kwreal 6]:[kwreal 9]])</f>
        <v>512.75</v>
      </c>
      <c r="AB326" s="21">
        <f>+Tabla4[[#This Row],[LineaBase-FD]]/350</f>
        <v>1.4650000000000001</v>
      </c>
    </row>
    <row r="327" spans="1:28" x14ac:dyDescent="0.3">
      <c r="A327" s="28">
        <v>3213</v>
      </c>
      <c r="B327" s="3">
        <v>985</v>
      </c>
      <c r="C327" s="3">
        <v>387</v>
      </c>
      <c r="D327" s="3">
        <v>1679</v>
      </c>
      <c r="E327" s="3">
        <v>161</v>
      </c>
      <c r="F327" s="77">
        <v>1.5409999999999999</v>
      </c>
      <c r="G327" s="77">
        <v>1.427</v>
      </c>
      <c r="H327" s="77">
        <v>1.5029999999999999</v>
      </c>
      <c r="I327" s="77">
        <v>1.371</v>
      </c>
      <c r="J327" s="3">
        <v>458</v>
      </c>
      <c r="K327" s="16">
        <v>0.30902777777777779</v>
      </c>
      <c r="L327" s="5">
        <v>45983</v>
      </c>
      <c r="M327" s="17">
        <v>0.99</v>
      </c>
      <c r="N327" s="22">
        <v>1.0449999999999999</v>
      </c>
      <c r="O327" s="22">
        <f>+MAX(Tabla4[[#This Row],[6KWA]:[9KWA]])</f>
        <v>1.5409999999999999</v>
      </c>
      <c r="P327" s="3">
        <f t="shared" si="46"/>
        <v>22</v>
      </c>
      <c r="Q327" s="3">
        <f t="shared" si="47"/>
        <v>11</v>
      </c>
      <c r="R327" s="3">
        <f t="shared" si="48"/>
        <v>47</v>
      </c>
      <c r="S327" s="3" t="str">
        <f t="shared" si="49"/>
        <v>noviembre</v>
      </c>
      <c r="T327" s="21">
        <f t="shared" si="50"/>
        <v>539.35</v>
      </c>
      <c r="U327" s="21">
        <f t="shared" si="51"/>
        <v>499.45</v>
      </c>
      <c r="V327" s="21">
        <f t="shared" si="52"/>
        <v>526.04999999999995</v>
      </c>
      <c r="W327" s="21">
        <f>+Tabla4[[#This Row],[9KWA]]*350</f>
        <v>479.85</v>
      </c>
      <c r="X327" s="21">
        <f>350*Tabla4[[#This Row],[Max Factor Medido]]</f>
        <v>539.35</v>
      </c>
      <c r="Y327" s="39">
        <v>0.94</v>
      </c>
      <c r="Z327" s="3">
        <f t="shared" si="53"/>
        <v>2025</v>
      </c>
      <c r="AA327" s="21">
        <f>+MEDIAN(Tabla4[[#This Row],[kwreal 6]:[kwreal 9]])</f>
        <v>512.75</v>
      </c>
      <c r="AB327" s="21">
        <f>+Tabla4[[#This Row],[LineaBase-FD]]/350</f>
        <v>1.4650000000000001</v>
      </c>
    </row>
    <row r="328" spans="1:28" x14ac:dyDescent="0.3">
      <c r="A328" s="28">
        <v>3242</v>
      </c>
      <c r="B328" s="3">
        <v>985</v>
      </c>
      <c r="C328" s="3">
        <v>387</v>
      </c>
      <c r="D328" s="3">
        <v>1703</v>
      </c>
      <c r="E328" s="3">
        <v>165</v>
      </c>
      <c r="F328" s="77">
        <v>1.5409999999999999</v>
      </c>
      <c r="G328" s="77">
        <v>1.427</v>
      </c>
      <c r="H328" s="77">
        <v>1.5029999999999999</v>
      </c>
      <c r="I328" s="77">
        <v>1.371</v>
      </c>
      <c r="J328" s="3">
        <v>462</v>
      </c>
      <c r="K328" s="16">
        <v>0.29930555555555555</v>
      </c>
      <c r="L328" s="5">
        <v>45984</v>
      </c>
      <c r="M328" s="17">
        <v>0.99</v>
      </c>
      <c r="N328" s="22">
        <v>1.0580000000000001</v>
      </c>
      <c r="O328" s="22">
        <f>+MAX(Tabla4[[#This Row],[6KWA]:[9KWA]])</f>
        <v>1.5409999999999999</v>
      </c>
      <c r="P328" s="3">
        <f t="shared" si="46"/>
        <v>23</v>
      </c>
      <c r="Q328" s="3">
        <f t="shared" si="47"/>
        <v>11</v>
      </c>
      <c r="R328" s="3">
        <f t="shared" si="48"/>
        <v>48</v>
      </c>
      <c r="S328" s="3" t="str">
        <f t="shared" si="49"/>
        <v>noviembre</v>
      </c>
      <c r="T328" s="21">
        <f t="shared" si="50"/>
        <v>539.35</v>
      </c>
      <c r="U328" s="21">
        <f t="shared" si="51"/>
        <v>499.45</v>
      </c>
      <c r="V328" s="21">
        <f t="shared" si="52"/>
        <v>526.04999999999995</v>
      </c>
      <c r="W328" s="21">
        <f>+Tabla4[[#This Row],[9KWA]]*350</f>
        <v>479.85</v>
      </c>
      <c r="X328" s="21">
        <f>350*Tabla4[[#This Row],[Max Factor Medido]]</f>
        <v>539.35</v>
      </c>
      <c r="Y328" s="39">
        <v>0.94</v>
      </c>
      <c r="Z328" s="3">
        <f t="shared" si="53"/>
        <v>2025</v>
      </c>
      <c r="AA328" s="21">
        <f>+MEDIAN(Tabla4[[#This Row],[kwreal 6]:[kwreal 9]])</f>
        <v>512.75</v>
      </c>
      <c r="AB328" s="21">
        <f>+Tabla4[[#This Row],[LineaBase-FD]]/350</f>
        <v>1.4650000000000001</v>
      </c>
    </row>
    <row r="329" spans="1:28" x14ac:dyDescent="0.3">
      <c r="A329" s="28">
        <v>3269</v>
      </c>
      <c r="B329" s="3">
        <v>985</v>
      </c>
      <c r="C329" s="3">
        <v>387</v>
      </c>
      <c r="D329" s="3">
        <v>1725</v>
      </c>
      <c r="E329" s="3">
        <v>170</v>
      </c>
      <c r="F329" s="77">
        <v>1.5409999999999999</v>
      </c>
      <c r="G329" s="77">
        <v>1.427</v>
      </c>
      <c r="H329" s="77">
        <v>1.5820000000000001</v>
      </c>
      <c r="I329" s="77">
        <v>1.385</v>
      </c>
      <c r="J329" s="3">
        <v>466</v>
      </c>
      <c r="K329" s="16">
        <v>0.29930555555555555</v>
      </c>
      <c r="L329" s="5">
        <v>45985</v>
      </c>
      <c r="M329" s="17">
        <v>0.99</v>
      </c>
      <c r="N329" s="22">
        <v>0.97699999999999998</v>
      </c>
      <c r="O329" s="22">
        <f>+MAX(Tabla4[[#This Row],[6KWA]:[9KWA]])</f>
        <v>1.5820000000000001</v>
      </c>
      <c r="P329" s="3">
        <f t="shared" si="46"/>
        <v>24</v>
      </c>
      <c r="Q329" s="3">
        <f t="shared" si="47"/>
        <v>11</v>
      </c>
      <c r="R329" s="3">
        <f t="shared" si="48"/>
        <v>48</v>
      </c>
      <c r="S329" s="3" t="str">
        <f t="shared" si="49"/>
        <v>noviembre</v>
      </c>
      <c r="T329" s="21">
        <f t="shared" si="50"/>
        <v>539.35</v>
      </c>
      <c r="U329" s="21">
        <f t="shared" si="51"/>
        <v>499.45</v>
      </c>
      <c r="V329" s="21">
        <f t="shared" si="52"/>
        <v>553.70000000000005</v>
      </c>
      <c r="W329" s="21">
        <f>+Tabla4[[#This Row],[9KWA]]*350</f>
        <v>484.75</v>
      </c>
      <c r="X329" s="21">
        <f>350*Tabla4[[#This Row],[Max Factor Medido]]</f>
        <v>553.70000000000005</v>
      </c>
      <c r="Y329" s="39">
        <v>0.94</v>
      </c>
      <c r="Z329" s="3">
        <f t="shared" si="53"/>
        <v>2025</v>
      </c>
      <c r="AA329" s="21">
        <f>+MEDIAN(Tabla4[[#This Row],[kwreal 6]:[kwreal 9]])</f>
        <v>519.4</v>
      </c>
      <c r="AB329" s="21">
        <f>+Tabla4[[#This Row],[LineaBase-FD]]/350</f>
        <v>1.484</v>
      </c>
    </row>
    <row r="330" spans="1:28" x14ac:dyDescent="0.3">
      <c r="A330" s="28">
        <v>3300</v>
      </c>
      <c r="B330" s="3">
        <v>985</v>
      </c>
      <c r="C330" s="3">
        <v>393</v>
      </c>
      <c r="D330" s="3">
        <v>1737</v>
      </c>
      <c r="E330" s="3">
        <v>170</v>
      </c>
      <c r="F330" s="77">
        <v>1.5409999999999999</v>
      </c>
      <c r="G330" s="77">
        <v>1.5660000000000001</v>
      </c>
      <c r="H330" s="77">
        <v>1.5820000000000001</v>
      </c>
      <c r="I330" s="77">
        <v>1.385</v>
      </c>
      <c r="J330" s="3">
        <v>470</v>
      </c>
      <c r="K330" s="16">
        <v>0.3215277777777778</v>
      </c>
      <c r="L330" s="5">
        <v>45986</v>
      </c>
      <c r="M330" s="17">
        <v>0.99</v>
      </c>
      <c r="N330" s="22">
        <v>1.08</v>
      </c>
      <c r="O330" s="22">
        <f>+MAX(Tabla4[[#This Row],[6KWA]:[9KWA]])</f>
        <v>1.5820000000000001</v>
      </c>
      <c r="P330" s="3">
        <f t="shared" si="46"/>
        <v>25</v>
      </c>
      <c r="Q330" s="3">
        <f t="shared" si="47"/>
        <v>11</v>
      </c>
      <c r="R330" s="3">
        <f t="shared" si="48"/>
        <v>48</v>
      </c>
      <c r="S330" s="3" t="str">
        <f t="shared" si="49"/>
        <v>noviembre</v>
      </c>
      <c r="T330" s="21">
        <f t="shared" si="50"/>
        <v>539.35</v>
      </c>
      <c r="U330" s="21">
        <f t="shared" si="51"/>
        <v>548.1</v>
      </c>
      <c r="V330" s="21">
        <f t="shared" si="52"/>
        <v>553.70000000000005</v>
      </c>
      <c r="W330" s="21">
        <f>+Tabla4[[#This Row],[9KWA]]*350</f>
        <v>484.75</v>
      </c>
      <c r="X330" s="21">
        <f>350*Tabla4[[#This Row],[Max Factor Medido]]</f>
        <v>553.70000000000005</v>
      </c>
      <c r="Y330" s="39">
        <v>0.94</v>
      </c>
      <c r="Z330" s="3">
        <f t="shared" si="53"/>
        <v>2025</v>
      </c>
      <c r="AA330" s="21">
        <f>+MEDIAN(Tabla4[[#This Row],[kwreal 6]:[kwreal 9]])</f>
        <v>543.72500000000002</v>
      </c>
      <c r="AB330" s="21">
        <f>+Tabla4[[#This Row],[LineaBase-FD]]/350</f>
        <v>1.5535000000000001</v>
      </c>
    </row>
    <row r="331" spans="1:28" x14ac:dyDescent="0.3">
      <c r="A331" s="28">
        <v>3321</v>
      </c>
      <c r="B331" s="3">
        <v>1007</v>
      </c>
      <c r="C331" s="3">
        <v>395</v>
      </c>
      <c r="D331" s="3">
        <v>1748</v>
      </c>
      <c r="E331" s="3">
        <v>170</v>
      </c>
      <c r="F331" s="77">
        <v>1.5409999999999999</v>
      </c>
      <c r="G331" s="77">
        <v>1.5660000000000001</v>
      </c>
      <c r="H331" s="77">
        <v>1.5820000000000001</v>
      </c>
      <c r="I331" s="77">
        <v>1.385</v>
      </c>
      <c r="J331" s="3">
        <v>473</v>
      </c>
      <c r="K331" s="16">
        <v>0.27361111111111114</v>
      </c>
      <c r="L331" s="5">
        <v>45987</v>
      </c>
      <c r="M331" s="17">
        <v>0.98</v>
      </c>
      <c r="N331" s="22">
        <v>1.081</v>
      </c>
      <c r="O331" s="22">
        <f>+MAX(Tabla4[[#This Row],[6KWA]:[9KWA]])</f>
        <v>1.5820000000000001</v>
      </c>
      <c r="P331" s="3">
        <f t="shared" si="46"/>
        <v>26</v>
      </c>
      <c r="Q331" s="3">
        <f t="shared" si="47"/>
        <v>11</v>
      </c>
      <c r="R331" s="3">
        <f t="shared" si="48"/>
        <v>48</v>
      </c>
      <c r="S331" s="3" t="str">
        <f t="shared" si="49"/>
        <v>noviembre</v>
      </c>
      <c r="T331" s="21">
        <f t="shared" si="50"/>
        <v>539.35</v>
      </c>
      <c r="U331" s="21">
        <f t="shared" si="51"/>
        <v>548.1</v>
      </c>
      <c r="V331" s="21">
        <f t="shared" si="52"/>
        <v>553.70000000000005</v>
      </c>
      <c r="W331" s="21">
        <f>+Tabla4[[#This Row],[9KWA]]*350</f>
        <v>484.75</v>
      </c>
      <c r="X331" s="21">
        <f>350*Tabla4[[#This Row],[Max Factor Medido]]</f>
        <v>553.70000000000005</v>
      </c>
      <c r="Y331" s="39">
        <v>0.94</v>
      </c>
      <c r="Z331" s="3">
        <f t="shared" si="53"/>
        <v>2025</v>
      </c>
      <c r="AA331" s="21">
        <f>+MEDIAN(Tabla4[[#This Row],[kwreal 6]:[kwreal 9]])</f>
        <v>543.72500000000002</v>
      </c>
      <c r="AB331" s="21">
        <f>+Tabla4[[#This Row],[LineaBase-FD]]/350</f>
        <v>1.5535000000000001</v>
      </c>
    </row>
    <row r="332" spans="1:28" x14ac:dyDescent="0.3">
      <c r="A332" s="28">
        <v>3352</v>
      </c>
      <c r="B332" s="3">
        <v>1020</v>
      </c>
      <c r="C332" s="3">
        <v>400</v>
      </c>
      <c r="D332" s="3">
        <v>1760</v>
      </c>
      <c r="E332" s="3">
        <v>170</v>
      </c>
      <c r="F332" s="77">
        <v>1.5529999999999999</v>
      </c>
      <c r="G332" s="77">
        <v>1.5660000000000001</v>
      </c>
      <c r="H332" s="77">
        <v>1.5820000000000001</v>
      </c>
      <c r="I332" s="77">
        <v>1.385</v>
      </c>
      <c r="J332" s="3">
        <v>478</v>
      </c>
      <c r="K332" s="16">
        <v>0.27500000000000002</v>
      </c>
      <c r="L332" s="5">
        <v>45988</v>
      </c>
      <c r="M332" s="17">
        <v>0.98</v>
      </c>
      <c r="N332" s="22">
        <v>1.125</v>
      </c>
      <c r="O332" s="22">
        <f>+MAX(Tabla4[[#This Row],[6KWA]:[9KWA]])</f>
        <v>1.5820000000000001</v>
      </c>
      <c r="P332" s="3">
        <f t="shared" si="46"/>
        <v>27</v>
      </c>
      <c r="Q332" s="3">
        <f t="shared" si="47"/>
        <v>11</v>
      </c>
      <c r="R332" s="3">
        <f t="shared" si="48"/>
        <v>48</v>
      </c>
      <c r="S332" s="3" t="str">
        <f t="shared" si="49"/>
        <v>noviembre</v>
      </c>
      <c r="T332" s="21">
        <f t="shared" si="50"/>
        <v>543.54999999999995</v>
      </c>
      <c r="U332" s="21">
        <f t="shared" si="51"/>
        <v>548.1</v>
      </c>
      <c r="V332" s="21">
        <f t="shared" si="52"/>
        <v>553.70000000000005</v>
      </c>
      <c r="W332" s="21">
        <f>+Tabla4[[#This Row],[9KWA]]*350</f>
        <v>484.75</v>
      </c>
      <c r="X332" s="21">
        <f>350*Tabla4[[#This Row],[Max Factor Medido]]</f>
        <v>553.70000000000005</v>
      </c>
      <c r="Y332" s="39">
        <v>0.94</v>
      </c>
      <c r="Z332" s="3">
        <f t="shared" si="53"/>
        <v>2025</v>
      </c>
      <c r="AA332" s="21">
        <f>+MEDIAN(Tabla4[[#This Row],[kwreal 6]:[kwreal 9]])</f>
        <v>545.82500000000005</v>
      </c>
      <c r="AB332" s="21">
        <f>+Tabla4[[#This Row],[LineaBase-FD]]/350</f>
        <v>1.5595000000000001</v>
      </c>
    </row>
    <row r="333" spans="1:28" x14ac:dyDescent="0.3">
      <c r="A333" s="28">
        <v>3382</v>
      </c>
      <c r="B333" s="3">
        <v>1033</v>
      </c>
      <c r="C333" s="3">
        <v>405</v>
      </c>
      <c r="D333" s="3">
        <v>1772</v>
      </c>
      <c r="E333" s="3">
        <v>170</v>
      </c>
      <c r="F333" s="77">
        <v>1.5529999999999999</v>
      </c>
      <c r="G333" s="77">
        <v>1.5660000000000001</v>
      </c>
      <c r="H333" s="77">
        <v>1.5820000000000001</v>
      </c>
      <c r="I333" s="77">
        <v>1.385</v>
      </c>
      <c r="J333" s="3">
        <v>482</v>
      </c>
      <c r="K333" s="16">
        <v>0.29583333333333334</v>
      </c>
      <c r="L333" s="5">
        <v>45989</v>
      </c>
      <c r="M333" s="17">
        <v>0.98</v>
      </c>
      <c r="N333" s="22">
        <v>1.0740000000000001</v>
      </c>
      <c r="O333" s="22">
        <f>+MAX(Tabla4[[#This Row],[6KWA]:[9KWA]])</f>
        <v>1.5820000000000001</v>
      </c>
      <c r="P333" s="3">
        <f t="shared" si="46"/>
        <v>28</v>
      </c>
      <c r="Q333" s="3">
        <f t="shared" si="47"/>
        <v>11</v>
      </c>
      <c r="R333" s="3">
        <f t="shared" si="48"/>
        <v>48</v>
      </c>
      <c r="S333" s="3" t="str">
        <f t="shared" si="49"/>
        <v>noviembre</v>
      </c>
      <c r="T333" s="21">
        <f t="shared" si="50"/>
        <v>543.54999999999995</v>
      </c>
      <c r="U333" s="21">
        <f t="shared" si="51"/>
        <v>548.1</v>
      </c>
      <c r="V333" s="21">
        <f t="shared" si="52"/>
        <v>553.70000000000005</v>
      </c>
      <c r="W333" s="21">
        <f>+Tabla4[[#This Row],[9KWA]]*350</f>
        <v>484.75</v>
      </c>
      <c r="X333" s="21">
        <f>350*Tabla4[[#This Row],[Max Factor Medido]]</f>
        <v>553.70000000000005</v>
      </c>
      <c r="Y333" s="39">
        <v>0.94</v>
      </c>
      <c r="Z333" s="3">
        <f t="shared" si="53"/>
        <v>2025</v>
      </c>
      <c r="AA333" s="21">
        <f>+MEDIAN(Tabla4[[#This Row],[kwreal 6]:[kwreal 9]])</f>
        <v>545.82500000000005</v>
      </c>
      <c r="AB333" s="21">
        <f>+Tabla4[[#This Row],[LineaBase-FD]]/350</f>
        <v>1.5595000000000001</v>
      </c>
    </row>
    <row r="334" spans="1:28" x14ac:dyDescent="0.3">
      <c r="A334" s="28">
        <v>3413</v>
      </c>
      <c r="B334" s="3">
        <v>1046</v>
      </c>
      <c r="C334" s="3">
        <v>410</v>
      </c>
      <c r="D334" s="3">
        <v>1785</v>
      </c>
      <c r="E334" s="3">
        <v>170</v>
      </c>
      <c r="F334" s="77">
        <v>1.5549999999999999</v>
      </c>
      <c r="G334" s="77">
        <v>1.5660000000000001</v>
      </c>
      <c r="H334" s="77">
        <v>1.5820000000000001</v>
      </c>
      <c r="I334" s="77">
        <v>1.385</v>
      </c>
      <c r="J334" s="3">
        <v>486</v>
      </c>
      <c r="K334" s="16">
        <v>0.29652777777777778</v>
      </c>
      <c r="L334" s="5">
        <v>45990</v>
      </c>
      <c r="M334" s="17">
        <v>0.97</v>
      </c>
      <c r="N334" s="22">
        <v>1.159</v>
      </c>
      <c r="O334" s="22">
        <f>+MAX(Tabla4[[#This Row],[6KWA]:[9KWA]])</f>
        <v>1.5820000000000001</v>
      </c>
      <c r="P334" s="3">
        <f t="shared" si="46"/>
        <v>29</v>
      </c>
      <c r="Q334" s="3">
        <f t="shared" si="47"/>
        <v>11</v>
      </c>
      <c r="R334" s="3">
        <f t="shared" si="48"/>
        <v>48</v>
      </c>
      <c r="S334" s="3" t="str">
        <f t="shared" si="49"/>
        <v>noviembre</v>
      </c>
      <c r="T334" s="21">
        <f t="shared" si="50"/>
        <v>544.25</v>
      </c>
      <c r="U334" s="21">
        <f t="shared" si="51"/>
        <v>548.1</v>
      </c>
      <c r="V334" s="21">
        <f t="shared" si="52"/>
        <v>553.70000000000005</v>
      </c>
      <c r="W334" s="21">
        <f>+Tabla4[[#This Row],[9KWA]]*350</f>
        <v>484.75</v>
      </c>
      <c r="X334" s="21">
        <f>350*Tabla4[[#This Row],[Max Factor Medido]]</f>
        <v>553.70000000000005</v>
      </c>
      <c r="Y334" s="39">
        <v>0.94</v>
      </c>
      <c r="Z334" s="3">
        <f t="shared" si="53"/>
        <v>2025</v>
      </c>
      <c r="AA334" s="21">
        <f>+MEDIAN(Tabla4[[#This Row],[kwreal 6]:[kwreal 9]])</f>
        <v>546.17499999999995</v>
      </c>
      <c r="AB334" s="21">
        <f>+Tabla4[[#This Row],[LineaBase-FD]]/350</f>
        <v>1.5604999999999998</v>
      </c>
    </row>
    <row r="335" spans="1:28" x14ac:dyDescent="0.3">
      <c r="A335" s="29">
        <v>3440</v>
      </c>
      <c r="B335" s="2">
        <v>1046</v>
      </c>
      <c r="C335" s="2">
        <v>410</v>
      </c>
      <c r="D335" s="2">
        <v>1807</v>
      </c>
      <c r="E335" s="2">
        <v>175</v>
      </c>
      <c r="F335" s="77">
        <v>1.5549999999999999</v>
      </c>
      <c r="G335" s="77">
        <v>1.5660000000000001</v>
      </c>
      <c r="H335" s="77">
        <v>1.5820000000000001</v>
      </c>
      <c r="I335" s="77">
        <v>1.385</v>
      </c>
      <c r="J335" s="2">
        <v>489</v>
      </c>
      <c r="K335" s="8">
        <v>0.29583333333333334</v>
      </c>
      <c r="L335" s="6">
        <v>45991</v>
      </c>
      <c r="M335" s="11">
        <v>0.98</v>
      </c>
      <c r="N335" s="22">
        <v>1.07</v>
      </c>
      <c r="O335" s="22">
        <f>+MAX(Tabla4[[#This Row],[6KWA]:[9KWA]])</f>
        <v>1.5820000000000001</v>
      </c>
      <c r="P335" s="3">
        <f t="shared" si="46"/>
        <v>30</v>
      </c>
      <c r="Q335" s="3">
        <f t="shared" si="47"/>
        <v>11</v>
      </c>
      <c r="R335" s="3">
        <f t="shared" si="48"/>
        <v>49</v>
      </c>
      <c r="S335" s="3" t="str">
        <f t="shared" si="49"/>
        <v>noviembre</v>
      </c>
      <c r="T335" s="21">
        <f t="shared" si="50"/>
        <v>544.25</v>
      </c>
      <c r="U335" s="21">
        <f t="shared" si="51"/>
        <v>548.1</v>
      </c>
      <c r="V335" s="21">
        <f t="shared" si="52"/>
        <v>553.70000000000005</v>
      </c>
      <c r="W335" s="21">
        <f>+Tabla4[[#This Row],[9KWA]]*350</f>
        <v>484.75</v>
      </c>
      <c r="X335" s="21">
        <f>350*Tabla4[[#This Row],[Max Factor Medido]]</f>
        <v>553.70000000000005</v>
      </c>
      <c r="Y335" s="39">
        <v>0.94</v>
      </c>
      <c r="Z335" s="3">
        <f t="shared" si="53"/>
        <v>2025</v>
      </c>
      <c r="AA335" s="21">
        <f>+MEDIAN(Tabla4[[#This Row],[kwreal 6]:[kwreal 9]])</f>
        <v>546.17499999999995</v>
      </c>
      <c r="AB335" s="21">
        <f>+Tabla4[[#This Row],[LineaBase-FD]]/350</f>
        <v>1.5604999999999998</v>
      </c>
    </row>
    <row r="336" spans="1:28" x14ac:dyDescent="0.3">
      <c r="A336" s="28">
        <v>3470</v>
      </c>
      <c r="B336" s="3">
        <v>1046</v>
      </c>
      <c r="C336" s="3">
        <v>410</v>
      </c>
      <c r="D336" s="3">
        <v>1832</v>
      </c>
      <c r="E336" s="3">
        <v>180</v>
      </c>
      <c r="F336" s="77">
        <v>0</v>
      </c>
      <c r="G336" s="77">
        <v>0</v>
      </c>
      <c r="H336" s="77">
        <v>1.2829999999999999</v>
      </c>
      <c r="I336" s="77">
        <v>0</v>
      </c>
      <c r="J336" s="3">
        <v>493</v>
      </c>
      <c r="K336" s="16">
        <v>0.29791666666666666</v>
      </c>
      <c r="L336" s="6">
        <v>45992</v>
      </c>
      <c r="M336" s="17">
        <v>0.95</v>
      </c>
      <c r="N336" s="22">
        <v>1.079</v>
      </c>
      <c r="O336" s="22">
        <f>+MAX(Tabla4[[#This Row],[6KWA]:[9KWA]])</f>
        <v>1.2829999999999999</v>
      </c>
      <c r="P336" s="3">
        <f t="shared" si="46"/>
        <v>1</v>
      </c>
      <c r="Q336" s="3">
        <f t="shared" si="47"/>
        <v>12</v>
      </c>
      <c r="R336" s="3">
        <f t="shared" si="48"/>
        <v>49</v>
      </c>
      <c r="S336" s="3" t="str">
        <f t="shared" si="49"/>
        <v>diciembre</v>
      </c>
      <c r="T336" s="21">
        <f t="shared" si="50"/>
        <v>0</v>
      </c>
      <c r="U336" s="21">
        <f t="shared" si="51"/>
        <v>0</v>
      </c>
      <c r="V336" s="21">
        <f t="shared" si="52"/>
        <v>449.04999999999995</v>
      </c>
      <c r="W336" s="21">
        <f>+Tabla4[[#This Row],[9KWA]]*350</f>
        <v>0</v>
      </c>
      <c r="X336" s="21">
        <f>350*Tabla4[[#This Row],[Max Factor Medido]]</f>
        <v>449.04999999999995</v>
      </c>
      <c r="Y336" s="39">
        <v>0.94</v>
      </c>
      <c r="Z336" s="3">
        <f t="shared" si="53"/>
        <v>2025</v>
      </c>
      <c r="AA336" s="21">
        <f>+MEDIAN(Tabla4[[#This Row],[kwreal 6]:[kwreal 9]])</f>
        <v>0</v>
      </c>
      <c r="AB336" s="21">
        <f>+Tabla4[[#This Row],[LineaBase-FD]]/350</f>
        <v>0</v>
      </c>
    </row>
    <row r="337" spans="1:28" x14ac:dyDescent="0.3">
      <c r="A337" s="29">
        <v>3498</v>
      </c>
      <c r="B337" s="3">
        <v>1058</v>
      </c>
      <c r="C337" s="3">
        <v>415</v>
      </c>
      <c r="D337" s="2">
        <v>1843</v>
      </c>
      <c r="E337" s="2">
        <v>180</v>
      </c>
      <c r="F337" s="77">
        <v>1.5389999999999999</v>
      </c>
      <c r="G337" s="77">
        <v>1.468</v>
      </c>
      <c r="H337" s="77">
        <v>1.361</v>
      </c>
      <c r="I337" s="77">
        <v>0</v>
      </c>
      <c r="J337" s="2">
        <v>497</v>
      </c>
      <c r="K337" s="16">
        <v>0.3034722222222222</v>
      </c>
      <c r="L337" s="6">
        <v>45993</v>
      </c>
      <c r="M337" s="11">
        <v>0.99</v>
      </c>
      <c r="N337" s="22">
        <v>1.0669999999999999</v>
      </c>
      <c r="O337" s="22">
        <f>+MAX(Tabla4[[#This Row],[6KWA]:[9KWA]])</f>
        <v>1.5389999999999999</v>
      </c>
      <c r="P337" s="3">
        <f t="shared" si="46"/>
        <v>2</v>
      </c>
      <c r="Q337" s="3">
        <f t="shared" si="47"/>
        <v>12</v>
      </c>
      <c r="R337" s="3">
        <f t="shared" si="48"/>
        <v>49</v>
      </c>
      <c r="S337" s="3" t="str">
        <f t="shared" si="49"/>
        <v>diciembre</v>
      </c>
      <c r="T337" s="21">
        <f t="shared" si="50"/>
        <v>538.65</v>
      </c>
      <c r="U337" s="21">
        <f t="shared" si="51"/>
        <v>513.79999999999995</v>
      </c>
      <c r="V337" s="21">
        <f t="shared" si="52"/>
        <v>476.35</v>
      </c>
      <c r="W337" s="21">
        <f>+Tabla4[[#This Row],[9KWA]]*350</f>
        <v>0</v>
      </c>
      <c r="X337" s="21">
        <f>350*Tabla4[[#This Row],[Max Factor Medido]]</f>
        <v>538.65</v>
      </c>
      <c r="Y337" s="39">
        <v>0.94</v>
      </c>
      <c r="Z337" s="3">
        <f t="shared" si="53"/>
        <v>2025</v>
      </c>
      <c r="AA337" s="21">
        <f>+MEDIAN(Tabla4[[#This Row],[kwreal 6]:[kwreal 9]])</f>
        <v>495.07499999999999</v>
      </c>
      <c r="AB337" s="21">
        <f>+Tabla4[[#This Row],[LineaBase-FD]]/350</f>
        <v>1.4144999999999999</v>
      </c>
    </row>
    <row r="338" spans="1:28" x14ac:dyDescent="0.3">
      <c r="A338" s="29">
        <v>3527</v>
      </c>
      <c r="B338" s="3">
        <v>1072</v>
      </c>
      <c r="C338" s="3">
        <v>420</v>
      </c>
      <c r="D338" s="2">
        <v>1854</v>
      </c>
      <c r="E338" s="2">
        <v>180</v>
      </c>
      <c r="F338" s="77">
        <v>1.63</v>
      </c>
      <c r="G338" s="77">
        <v>1.468</v>
      </c>
      <c r="H338" s="77">
        <v>1.361</v>
      </c>
      <c r="I338" s="77">
        <v>0</v>
      </c>
      <c r="J338" s="2">
        <v>500</v>
      </c>
      <c r="K338" s="8">
        <v>0.27986111111111112</v>
      </c>
      <c r="L338" s="6">
        <v>45994</v>
      </c>
      <c r="M338" s="11">
        <v>0.99</v>
      </c>
      <c r="N338" s="22">
        <v>1.3109999999999999</v>
      </c>
      <c r="O338" s="22">
        <f>+MAX(Tabla4[[#This Row],[6KWA]:[9KWA]])</f>
        <v>1.63</v>
      </c>
      <c r="P338" s="3">
        <f t="shared" si="46"/>
        <v>3</v>
      </c>
      <c r="Q338" s="3">
        <f t="shared" si="47"/>
        <v>12</v>
      </c>
      <c r="R338" s="3">
        <f t="shared" si="48"/>
        <v>49</v>
      </c>
      <c r="S338" s="3" t="str">
        <f t="shared" si="49"/>
        <v>diciembre</v>
      </c>
      <c r="T338" s="21">
        <f t="shared" si="50"/>
        <v>570.5</v>
      </c>
      <c r="U338" s="21">
        <f t="shared" si="51"/>
        <v>513.79999999999995</v>
      </c>
      <c r="V338" s="21">
        <f t="shared" si="52"/>
        <v>476.35</v>
      </c>
      <c r="W338" s="21">
        <f>+Tabla4[[#This Row],[9KWA]]*350</f>
        <v>0</v>
      </c>
      <c r="X338" s="21">
        <f>350*Tabla4[[#This Row],[Max Factor Medido]]</f>
        <v>570.5</v>
      </c>
      <c r="Y338" s="39">
        <v>0.94</v>
      </c>
      <c r="Z338" s="3">
        <f t="shared" si="53"/>
        <v>2025</v>
      </c>
      <c r="AA338" s="21">
        <f>+MEDIAN(Tabla4[[#This Row],[kwreal 6]:[kwreal 9]])</f>
        <v>495.07499999999999</v>
      </c>
      <c r="AB338" s="21">
        <f>+Tabla4[[#This Row],[LineaBase-FD]]/350</f>
        <v>1.4144999999999999</v>
      </c>
    </row>
    <row r="339" spans="1:28" x14ac:dyDescent="0.3">
      <c r="A339" s="28">
        <v>3557</v>
      </c>
      <c r="B339" s="3">
        <v>1080</v>
      </c>
      <c r="C339" s="3">
        <v>425</v>
      </c>
      <c r="D339" s="3">
        <v>1866</v>
      </c>
      <c r="E339" s="3">
        <v>180</v>
      </c>
      <c r="F339" s="77">
        <v>1.63</v>
      </c>
      <c r="G339" s="77">
        <v>1.47</v>
      </c>
      <c r="H339" s="77">
        <v>1.361</v>
      </c>
      <c r="I339" s="77">
        <v>0</v>
      </c>
      <c r="J339" s="20">
        <v>504</v>
      </c>
      <c r="K339" s="8">
        <v>0.27430555555555558</v>
      </c>
      <c r="L339" s="6">
        <v>45995</v>
      </c>
      <c r="M339" s="17">
        <v>1</v>
      </c>
      <c r="N339" s="22">
        <v>0.87</v>
      </c>
      <c r="O339" s="22">
        <f>+MAX(Tabla4[[#This Row],[6KWA]:[9KWA]])</f>
        <v>1.63</v>
      </c>
      <c r="P339" s="3">
        <f t="shared" si="46"/>
        <v>4</v>
      </c>
      <c r="Q339" s="3">
        <f t="shared" si="47"/>
        <v>12</v>
      </c>
      <c r="R339" s="3">
        <f t="shared" si="48"/>
        <v>49</v>
      </c>
      <c r="S339" s="3" t="str">
        <f t="shared" si="49"/>
        <v>diciembre</v>
      </c>
      <c r="T339" s="21">
        <f t="shared" si="50"/>
        <v>570.5</v>
      </c>
      <c r="U339" s="21">
        <f t="shared" si="51"/>
        <v>514.5</v>
      </c>
      <c r="V339" s="21">
        <f t="shared" si="52"/>
        <v>476.35</v>
      </c>
      <c r="W339" s="21">
        <f>+Tabla4[[#This Row],[9KWA]]*350</f>
        <v>0</v>
      </c>
      <c r="X339" s="21">
        <f>350*Tabla4[[#This Row],[Max Factor Medido]]</f>
        <v>570.5</v>
      </c>
      <c r="Y339" s="39">
        <v>0.94</v>
      </c>
      <c r="Z339" s="3">
        <f t="shared" si="53"/>
        <v>2025</v>
      </c>
      <c r="AA339" s="21">
        <f>+MEDIAN(Tabla4[[#This Row],[kwreal 6]:[kwreal 9]])</f>
        <v>495.42500000000001</v>
      </c>
      <c r="AB339" s="21">
        <f>+Tabla4[[#This Row],[LineaBase-FD]]/350</f>
        <v>1.4155</v>
      </c>
    </row>
    <row r="340" spans="1:28" x14ac:dyDescent="0.3">
      <c r="A340" s="28">
        <v>3587</v>
      </c>
      <c r="B340" s="3">
        <v>1097</v>
      </c>
      <c r="C340" s="3">
        <v>430</v>
      </c>
      <c r="D340" s="3">
        <v>1878</v>
      </c>
      <c r="E340" s="3">
        <v>180</v>
      </c>
      <c r="F340" s="77">
        <v>1.63</v>
      </c>
      <c r="G340" s="77">
        <v>1.4790000000000001</v>
      </c>
      <c r="H340" s="77">
        <v>1.361</v>
      </c>
      <c r="I340" s="77">
        <v>0</v>
      </c>
      <c r="J340" s="20">
        <v>508</v>
      </c>
      <c r="K340" s="16">
        <v>0.29305555555555557</v>
      </c>
      <c r="L340" s="5">
        <v>45996</v>
      </c>
      <c r="M340" s="17">
        <v>0.99</v>
      </c>
      <c r="N340" s="22">
        <v>1.161</v>
      </c>
      <c r="O340" s="22">
        <f>+MAX(Tabla4[[#This Row],[6KWA]:[9KWA]])</f>
        <v>1.63</v>
      </c>
      <c r="P340" s="3">
        <f t="shared" si="46"/>
        <v>5</v>
      </c>
      <c r="Q340" s="3">
        <f t="shared" si="47"/>
        <v>12</v>
      </c>
      <c r="R340" s="3">
        <f t="shared" si="48"/>
        <v>49</v>
      </c>
      <c r="S340" s="3" t="str">
        <f t="shared" si="49"/>
        <v>diciembre</v>
      </c>
      <c r="T340" s="21">
        <f t="shared" si="50"/>
        <v>570.5</v>
      </c>
      <c r="U340" s="21">
        <f t="shared" si="51"/>
        <v>517.65</v>
      </c>
      <c r="V340" s="21">
        <f t="shared" si="52"/>
        <v>476.35</v>
      </c>
      <c r="W340" s="21">
        <f>+Tabla4[[#This Row],[9KWA]]*350</f>
        <v>0</v>
      </c>
      <c r="X340" s="21">
        <f>350*Tabla4[[#This Row],[Max Factor Medido]]</f>
        <v>570.5</v>
      </c>
      <c r="Y340" s="39">
        <v>0.94</v>
      </c>
      <c r="Z340" s="3">
        <f t="shared" si="53"/>
        <v>2025</v>
      </c>
      <c r="AA340" s="21">
        <f>+MEDIAN(Tabla4[[#This Row],[kwreal 6]:[kwreal 9]])</f>
        <v>497</v>
      </c>
      <c r="AB340" s="21">
        <f>+Tabla4[[#This Row],[LineaBase-FD]]/350</f>
        <v>1.42</v>
      </c>
    </row>
    <row r="341" spans="1:28" x14ac:dyDescent="0.3">
      <c r="A341" s="28">
        <v>3615</v>
      </c>
      <c r="B341" s="3">
        <v>1110</v>
      </c>
      <c r="C341" s="3">
        <v>435</v>
      </c>
      <c r="D341" s="3">
        <v>1889</v>
      </c>
      <c r="E341" s="3">
        <v>180</v>
      </c>
      <c r="F341" s="77">
        <v>1.63</v>
      </c>
      <c r="G341" s="77">
        <v>1.4790000000000001</v>
      </c>
      <c r="H341" s="77">
        <v>1.361</v>
      </c>
      <c r="I341" s="77">
        <v>0</v>
      </c>
      <c r="J341" s="20">
        <v>512</v>
      </c>
      <c r="K341" s="8">
        <v>0.28819444444444442</v>
      </c>
      <c r="L341" s="5">
        <v>45997</v>
      </c>
      <c r="M341" s="17">
        <v>0.99</v>
      </c>
      <c r="N341" s="22">
        <v>1.155</v>
      </c>
      <c r="O341" s="22">
        <f>+MAX(Tabla4[[#This Row],[6KWA]:[9KWA]])</f>
        <v>1.63</v>
      </c>
      <c r="P341" s="3">
        <f t="shared" si="46"/>
        <v>6</v>
      </c>
      <c r="Q341" s="3">
        <f t="shared" si="47"/>
        <v>12</v>
      </c>
      <c r="R341" s="3">
        <f t="shared" si="48"/>
        <v>49</v>
      </c>
      <c r="S341" s="3" t="str">
        <f t="shared" si="49"/>
        <v>diciembre</v>
      </c>
      <c r="T341" s="21">
        <f t="shared" si="50"/>
        <v>570.5</v>
      </c>
      <c r="U341" s="21">
        <f t="shared" si="51"/>
        <v>517.65</v>
      </c>
      <c r="V341" s="21">
        <f t="shared" si="52"/>
        <v>476.35</v>
      </c>
      <c r="W341" s="21">
        <f>+Tabla4[[#This Row],[9KWA]]*350</f>
        <v>0</v>
      </c>
      <c r="X341" s="21">
        <f>350*Tabla4[[#This Row],[Max Factor Medido]]</f>
        <v>570.5</v>
      </c>
      <c r="Y341" s="39">
        <v>0.94</v>
      </c>
      <c r="Z341" s="3">
        <f t="shared" si="53"/>
        <v>2025</v>
      </c>
      <c r="AA341" s="21">
        <f>+MEDIAN(Tabla4[[#This Row],[kwreal 6]:[kwreal 9]])</f>
        <v>497</v>
      </c>
      <c r="AB341" s="21">
        <f>+Tabla4[[#This Row],[LineaBase-FD]]/350</f>
        <v>1.42</v>
      </c>
    </row>
    <row r="342" spans="1:28" x14ac:dyDescent="0.3">
      <c r="A342" s="28">
        <v>3668</v>
      </c>
      <c r="B342" s="3">
        <v>1110</v>
      </c>
      <c r="C342" s="3">
        <v>435</v>
      </c>
      <c r="D342" s="3">
        <v>1912</v>
      </c>
      <c r="E342" s="3">
        <v>190</v>
      </c>
      <c r="F342" s="77">
        <v>1.63</v>
      </c>
      <c r="G342" s="77">
        <v>1.4790000000000001</v>
      </c>
      <c r="H342" s="77">
        <v>1.361</v>
      </c>
      <c r="I342" s="77">
        <v>0</v>
      </c>
      <c r="J342" s="20">
        <v>516</v>
      </c>
      <c r="K342" s="8">
        <v>0.43055555555555558</v>
      </c>
      <c r="L342" s="5">
        <v>45998</v>
      </c>
      <c r="M342" s="17">
        <v>0.99</v>
      </c>
      <c r="N342" s="22">
        <v>1.06</v>
      </c>
      <c r="O342" s="22">
        <f>+MAX(Tabla4[[#This Row],[6KWA]:[9KWA]])</f>
        <v>1.63</v>
      </c>
      <c r="P342" s="3">
        <f t="shared" si="46"/>
        <v>7</v>
      </c>
      <c r="Q342" s="3">
        <f t="shared" si="47"/>
        <v>12</v>
      </c>
      <c r="R342" s="3">
        <f t="shared" si="48"/>
        <v>50</v>
      </c>
      <c r="S342" s="3" t="str">
        <f t="shared" si="49"/>
        <v>diciembre</v>
      </c>
      <c r="T342" s="21">
        <f t="shared" si="50"/>
        <v>570.5</v>
      </c>
      <c r="U342" s="21">
        <f t="shared" si="51"/>
        <v>517.65</v>
      </c>
      <c r="V342" s="21">
        <f t="shared" si="52"/>
        <v>476.35</v>
      </c>
      <c r="W342" s="21">
        <f>+Tabla4[[#This Row],[9KWA]]*350</f>
        <v>0</v>
      </c>
      <c r="X342" s="21">
        <f>350*Tabla4[[#This Row],[Max Factor Medido]]</f>
        <v>570.5</v>
      </c>
      <c r="Y342" s="39">
        <v>0.94</v>
      </c>
      <c r="Z342" s="3">
        <f t="shared" si="53"/>
        <v>2025</v>
      </c>
      <c r="AA342" s="21">
        <f>+MEDIAN(Tabla4[[#This Row],[kwreal 6]:[kwreal 9]])</f>
        <v>497</v>
      </c>
      <c r="AB342" s="21">
        <f>+Tabla4[[#This Row],[LineaBase-FD]]/350</f>
        <v>1.42</v>
      </c>
    </row>
    <row r="343" spans="1:28" x14ac:dyDescent="0.3">
      <c r="A343" s="28">
        <v>3668</v>
      </c>
      <c r="B343" s="3">
        <v>1110</v>
      </c>
      <c r="C343" s="3">
        <v>435</v>
      </c>
      <c r="D343" s="3">
        <v>1932</v>
      </c>
      <c r="E343" s="3">
        <v>190</v>
      </c>
      <c r="F343" s="77">
        <v>1.63</v>
      </c>
      <c r="G343" s="77">
        <v>1.4790000000000001</v>
      </c>
      <c r="H343" s="77">
        <v>1.4570000000000001</v>
      </c>
      <c r="I343" s="77">
        <v>0.1414</v>
      </c>
      <c r="J343" s="20">
        <v>520</v>
      </c>
      <c r="K343" s="8">
        <v>0.28958333333333336</v>
      </c>
      <c r="L343" s="5">
        <v>45999</v>
      </c>
      <c r="M343" s="17">
        <v>0.99</v>
      </c>
      <c r="N343" s="22">
        <v>1.085</v>
      </c>
      <c r="O343" s="22">
        <f>+MAX(Tabla4[[#This Row],[6KWA]:[9KWA]])</f>
        <v>1.63</v>
      </c>
      <c r="P343" s="3">
        <f t="shared" si="46"/>
        <v>8</v>
      </c>
      <c r="Q343" s="3">
        <f t="shared" si="47"/>
        <v>12</v>
      </c>
      <c r="R343" s="3">
        <f t="shared" si="48"/>
        <v>50</v>
      </c>
      <c r="S343" s="3" t="str">
        <f t="shared" si="49"/>
        <v>diciembre</v>
      </c>
      <c r="T343" s="21">
        <f t="shared" si="50"/>
        <v>570.5</v>
      </c>
      <c r="U343" s="21">
        <f t="shared" si="51"/>
        <v>517.65</v>
      </c>
      <c r="V343" s="21">
        <f t="shared" si="52"/>
        <v>509.95000000000005</v>
      </c>
      <c r="W343" s="21">
        <f>+Tabla4[[#This Row],[9KWA]]*350</f>
        <v>49.49</v>
      </c>
      <c r="X343" s="21">
        <f>350*Tabla4[[#This Row],[Max Factor Medido]]</f>
        <v>570.5</v>
      </c>
      <c r="Y343" s="39">
        <v>0.94</v>
      </c>
      <c r="Z343" s="3">
        <f t="shared" si="53"/>
        <v>2025</v>
      </c>
      <c r="AA343" s="21">
        <f>+MEDIAN(Tabla4[[#This Row],[kwreal 6]:[kwreal 9]])</f>
        <v>513.79999999999995</v>
      </c>
      <c r="AB343" s="21">
        <f>+Tabla4[[#This Row],[LineaBase-FD]]/350</f>
        <v>1.468</v>
      </c>
    </row>
    <row r="344" spans="1:28" x14ac:dyDescent="0.3">
      <c r="A344" s="28">
        <v>3697</v>
      </c>
      <c r="B344" s="3">
        <v>1122</v>
      </c>
      <c r="C344" s="3">
        <v>440</v>
      </c>
      <c r="D344" s="3">
        <v>1943</v>
      </c>
      <c r="E344" s="3">
        <v>190</v>
      </c>
      <c r="F344" s="77">
        <v>1.63</v>
      </c>
      <c r="G344" s="77">
        <v>1.4790000000000001</v>
      </c>
      <c r="H344" s="77">
        <v>1.4870000000000001</v>
      </c>
      <c r="I344" s="77">
        <v>0.1414</v>
      </c>
      <c r="J344" s="20">
        <v>523</v>
      </c>
      <c r="K344" s="8">
        <v>0.29444444444444445</v>
      </c>
      <c r="L344" s="5">
        <v>46000</v>
      </c>
      <c r="M344" s="17">
        <v>0.98</v>
      </c>
      <c r="N344" s="22">
        <v>0.1178</v>
      </c>
      <c r="O344" s="22">
        <f>+MAX(Tabla4[[#This Row],[6KWA]:[9KWA]])</f>
        <v>1.63</v>
      </c>
      <c r="P344" s="3">
        <f t="shared" si="46"/>
        <v>9</v>
      </c>
      <c r="Q344" s="3">
        <f t="shared" si="47"/>
        <v>12</v>
      </c>
      <c r="R344" s="3">
        <f t="shared" si="48"/>
        <v>50</v>
      </c>
      <c r="S344" s="3" t="str">
        <f t="shared" si="49"/>
        <v>diciembre</v>
      </c>
      <c r="T344" s="21">
        <f t="shared" si="50"/>
        <v>570.5</v>
      </c>
      <c r="U344" s="21">
        <f t="shared" si="51"/>
        <v>517.65</v>
      </c>
      <c r="V344" s="21">
        <f t="shared" si="52"/>
        <v>520.45000000000005</v>
      </c>
      <c r="W344" s="21">
        <f>+Tabla4[[#This Row],[9KWA]]*350</f>
        <v>49.49</v>
      </c>
      <c r="X344" s="21">
        <f>350*Tabla4[[#This Row],[Max Factor Medido]]</f>
        <v>570.5</v>
      </c>
      <c r="Y344" s="39">
        <v>0.94</v>
      </c>
      <c r="Z344" s="3">
        <f t="shared" si="53"/>
        <v>2025</v>
      </c>
      <c r="AA344" s="21">
        <f>+MEDIAN(Tabla4[[#This Row],[kwreal 6]:[kwreal 9]])</f>
        <v>519.04999999999995</v>
      </c>
      <c r="AB344" s="21">
        <f>+Tabla4[[#This Row],[LineaBase-FD]]/350</f>
        <v>1.4829999999999999</v>
      </c>
    </row>
    <row r="345" spans="1:28" x14ac:dyDescent="0.3">
      <c r="A345" s="29">
        <v>3725</v>
      </c>
      <c r="B345" s="2">
        <v>1135</v>
      </c>
      <c r="C345" s="2">
        <v>445</v>
      </c>
      <c r="D345" s="2">
        <v>1954</v>
      </c>
      <c r="E345" s="2">
        <v>190</v>
      </c>
      <c r="F345" s="77">
        <v>1.63</v>
      </c>
      <c r="G345" s="77">
        <v>1.4790000000000001</v>
      </c>
      <c r="H345" s="77">
        <v>1.4870000000000001</v>
      </c>
      <c r="I345" s="77">
        <v>0.1414</v>
      </c>
      <c r="J345" s="12">
        <v>527</v>
      </c>
      <c r="K345" s="8">
        <v>0.28402777777777777</v>
      </c>
      <c r="L345" s="6">
        <v>46001</v>
      </c>
      <c r="M345" s="11">
        <v>0.99</v>
      </c>
      <c r="N345" s="22">
        <v>0.93</v>
      </c>
      <c r="O345" s="22">
        <f>+MAX(Tabla4[[#This Row],[6KWA]:[9KWA]])</f>
        <v>1.63</v>
      </c>
      <c r="P345" s="3">
        <f t="shared" si="46"/>
        <v>10</v>
      </c>
      <c r="Q345" s="3">
        <f t="shared" si="47"/>
        <v>12</v>
      </c>
      <c r="R345" s="3">
        <f t="shared" si="48"/>
        <v>50</v>
      </c>
      <c r="S345" s="3" t="str">
        <f t="shared" si="49"/>
        <v>diciembre</v>
      </c>
      <c r="T345" s="21">
        <f t="shared" si="50"/>
        <v>570.5</v>
      </c>
      <c r="U345" s="21">
        <f t="shared" si="51"/>
        <v>517.65</v>
      </c>
      <c r="V345" s="21">
        <f t="shared" si="52"/>
        <v>520.45000000000005</v>
      </c>
      <c r="W345" s="21">
        <f>+Tabla4[[#This Row],[9KWA]]*350</f>
        <v>49.49</v>
      </c>
      <c r="X345" s="21">
        <f>350*Tabla4[[#This Row],[Max Factor Medido]]</f>
        <v>570.5</v>
      </c>
      <c r="Y345" s="39">
        <v>0.94</v>
      </c>
      <c r="Z345" s="3">
        <f t="shared" si="53"/>
        <v>2025</v>
      </c>
      <c r="AA345" s="21">
        <f>+MEDIAN(Tabla4[[#This Row],[kwreal 6]:[kwreal 9]])</f>
        <v>519.04999999999995</v>
      </c>
      <c r="AB345" s="21">
        <f>+Tabla4[[#This Row],[LineaBase-FD]]/350</f>
        <v>1.4829999999999999</v>
      </c>
    </row>
    <row r="346" spans="1:28" x14ac:dyDescent="0.3">
      <c r="A346" s="29">
        <v>3753</v>
      </c>
      <c r="B346" s="2">
        <v>1147</v>
      </c>
      <c r="C346" s="2">
        <v>450</v>
      </c>
      <c r="D346" s="2">
        <v>1960</v>
      </c>
      <c r="E346" s="2">
        <v>190</v>
      </c>
      <c r="F346" s="77">
        <v>1.63</v>
      </c>
      <c r="G346" s="77">
        <v>1.4790000000000001</v>
      </c>
      <c r="H346" s="77">
        <v>1.4870000000000001</v>
      </c>
      <c r="I346" s="77">
        <v>0.1414</v>
      </c>
      <c r="J346" s="12">
        <v>530</v>
      </c>
      <c r="K346" s="8">
        <v>0.27500000000000002</v>
      </c>
      <c r="L346" s="6">
        <v>46002</v>
      </c>
      <c r="M346" s="11">
        <v>0.98</v>
      </c>
      <c r="N346" s="22">
        <v>1.0549999999999999</v>
      </c>
      <c r="O346" s="22">
        <f>+MAX(Tabla4[[#This Row],[6KWA]:[9KWA]])</f>
        <v>1.63</v>
      </c>
      <c r="P346" s="3">
        <f t="shared" si="46"/>
        <v>11</v>
      </c>
      <c r="Q346" s="3">
        <f t="shared" si="47"/>
        <v>12</v>
      </c>
      <c r="R346" s="3">
        <f t="shared" si="48"/>
        <v>50</v>
      </c>
      <c r="S346" s="3" t="str">
        <f t="shared" si="49"/>
        <v>diciembre</v>
      </c>
      <c r="T346" s="21">
        <f t="shared" si="50"/>
        <v>570.5</v>
      </c>
      <c r="U346" s="21">
        <f t="shared" si="51"/>
        <v>517.65</v>
      </c>
      <c r="V346" s="21">
        <f t="shared" si="52"/>
        <v>520.45000000000005</v>
      </c>
      <c r="W346" s="21">
        <f>+Tabla4[[#This Row],[9KWA]]*350</f>
        <v>49.49</v>
      </c>
      <c r="X346" s="21">
        <f>350*Tabla4[[#This Row],[Max Factor Medido]]</f>
        <v>570.5</v>
      </c>
      <c r="Y346" s="39">
        <v>0.94</v>
      </c>
      <c r="Z346" s="3">
        <f t="shared" si="53"/>
        <v>2025</v>
      </c>
      <c r="AA346" s="21">
        <f>+MEDIAN(Tabla4[[#This Row],[kwreal 6]:[kwreal 9]])</f>
        <v>519.04999999999995</v>
      </c>
      <c r="AB346" s="21">
        <f>+Tabla4[[#This Row],[LineaBase-FD]]/350</f>
        <v>1.4829999999999999</v>
      </c>
    </row>
    <row r="347" spans="1:28" x14ac:dyDescent="0.3">
      <c r="A347" s="28">
        <v>3782</v>
      </c>
      <c r="B347" s="3">
        <v>1160</v>
      </c>
      <c r="C347" s="3">
        <v>455</v>
      </c>
      <c r="D347" s="3">
        <v>1976</v>
      </c>
      <c r="E347" s="3">
        <v>190</v>
      </c>
      <c r="F347" s="77">
        <v>1.63</v>
      </c>
      <c r="G347" s="77">
        <v>1.4790000000000001</v>
      </c>
      <c r="H347" s="77">
        <v>1.4870000000000001</v>
      </c>
      <c r="I347" s="77">
        <v>0.1414</v>
      </c>
      <c r="J347" s="20">
        <v>534</v>
      </c>
      <c r="K347" s="8">
        <v>0.29236111111111113</v>
      </c>
      <c r="L347" s="5">
        <v>46003</v>
      </c>
      <c r="M347" s="17">
        <v>0.98</v>
      </c>
      <c r="N347" s="22">
        <v>0.98899999999999999</v>
      </c>
      <c r="O347" s="22">
        <f>+MAX(Tabla4[[#This Row],[6KWA]:[9KWA]])</f>
        <v>1.63</v>
      </c>
      <c r="P347" s="3">
        <f t="shared" si="46"/>
        <v>12</v>
      </c>
      <c r="Q347" s="3">
        <f t="shared" si="47"/>
        <v>12</v>
      </c>
      <c r="R347" s="3">
        <f t="shared" si="48"/>
        <v>50</v>
      </c>
      <c r="S347" s="3" t="str">
        <f t="shared" si="49"/>
        <v>diciembre</v>
      </c>
      <c r="T347" s="21">
        <f t="shared" si="50"/>
        <v>570.5</v>
      </c>
      <c r="U347" s="21">
        <f t="shared" si="51"/>
        <v>517.65</v>
      </c>
      <c r="V347" s="21">
        <f t="shared" si="52"/>
        <v>520.45000000000005</v>
      </c>
      <c r="W347" s="21">
        <f>+Tabla4[[#This Row],[9KWA]]*350</f>
        <v>49.49</v>
      </c>
      <c r="X347" s="21">
        <f>350*Tabla4[[#This Row],[Max Factor Medido]]</f>
        <v>570.5</v>
      </c>
      <c r="Y347" s="39">
        <v>0.94</v>
      </c>
      <c r="Z347" s="3">
        <f t="shared" si="53"/>
        <v>2025</v>
      </c>
      <c r="AA347" s="21">
        <f>+MEDIAN(Tabla4[[#This Row],[kwreal 6]:[kwreal 9]])</f>
        <v>519.04999999999995</v>
      </c>
      <c r="AB347" s="21">
        <f>+Tabla4[[#This Row],[LineaBase-FD]]/350</f>
        <v>1.4829999999999999</v>
      </c>
    </row>
    <row r="348" spans="1:28" x14ac:dyDescent="0.3">
      <c r="A348" s="28">
        <v>3811</v>
      </c>
      <c r="B348" s="3">
        <v>1173</v>
      </c>
      <c r="C348" s="3">
        <v>459</v>
      </c>
      <c r="D348" s="14">
        <v>1988</v>
      </c>
      <c r="E348" s="3">
        <v>190</v>
      </c>
      <c r="F348" s="77">
        <v>1.63</v>
      </c>
      <c r="G348" s="77">
        <v>1.4790000000000001</v>
      </c>
      <c r="H348" s="77">
        <v>1.4870000000000001</v>
      </c>
      <c r="I348" s="77">
        <v>0.1414</v>
      </c>
      <c r="J348" s="20">
        <v>538</v>
      </c>
      <c r="K348" s="8">
        <v>0.29375000000000001</v>
      </c>
      <c r="L348" s="1">
        <v>46004</v>
      </c>
      <c r="M348" s="17">
        <v>0.99</v>
      </c>
      <c r="N348" s="22">
        <v>0.85099999999999998</v>
      </c>
      <c r="O348" s="22">
        <f>+MAX(Tabla4[[#This Row],[6KWA]:[9KWA]])</f>
        <v>1.63</v>
      </c>
      <c r="P348" s="3">
        <f t="shared" si="46"/>
        <v>13</v>
      </c>
      <c r="Q348" s="3">
        <f t="shared" si="47"/>
        <v>12</v>
      </c>
      <c r="R348" s="3">
        <f t="shared" si="48"/>
        <v>50</v>
      </c>
      <c r="S348" s="3" t="str">
        <f t="shared" si="49"/>
        <v>diciembre</v>
      </c>
      <c r="T348" s="21">
        <f t="shared" si="50"/>
        <v>570.5</v>
      </c>
      <c r="U348" s="21">
        <f t="shared" si="51"/>
        <v>517.65</v>
      </c>
      <c r="V348" s="21">
        <f t="shared" si="52"/>
        <v>520.45000000000005</v>
      </c>
      <c r="W348" s="21">
        <f>+Tabla4[[#This Row],[9KWA]]*350</f>
        <v>49.49</v>
      </c>
      <c r="X348" s="21">
        <f>350*Tabla4[[#This Row],[Max Factor Medido]]</f>
        <v>570.5</v>
      </c>
      <c r="Y348" s="39">
        <v>0.94</v>
      </c>
      <c r="Z348" s="3">
        <f t="shared" si="53"/>
        <v>2025</v>
      </c>
      <c r="AA348" s="21">
        <f>+MEDIAN(Tabla4[[#This Row],[kwreal 6]:[kwreal 9]])</f>
        <v>519.04999999999995</v>
      </c>
      <c r="AB348" s="21">
        <f>+Tabla4[[#This Row],[LineaBase-FD]]/350</f>
        <v>1.4829999999999999</v>
      </c>
    </row>
    <row r="349" spans="1:28" x14ac:dyDescent="0.3">
      <c r="A349" s="28">
        <v>3839</v>
      </c>
      <c r="B349" s="3">
        <v>1173</v>
      </c>
      <c r="C349" s="3">
        <v>459</v>
      </c>
      <c r="D349" s="3">
        <v>2011</v>
      </c>
      <c r="E349" s="3">
        <v>195</v>
      </c>
      <c r="F349" s="77">
        <v>1.63</v>
      </c>
      <c r="G349" s="77">
        <v>1.4790000000000001</v>
      </c>
      <c r="H349" s="77">
        <v>1.4870000000000001</v>
      </c>
      <c r="I349" s="77">
        <v>0.1414</v>
      </c>
      <c r="J349" s="20">
        <v>541</v>
      </c>
      <c r="K349" s="8">
        <v>0.29722222222222222</v>
      </c>
      <c r="L349" s="5">
        <v>46005</v>
      </c>
      <c r="M349" s="17">
        <v>0.98</v>
      </c>
      <c r="N349" s="22">
        <v>1.3320000000000001</v>
      </c>
      <c r="O349" s="22">
        <f>+MAX(Tabla4[[#This Row],[6KWA]:[9KWA]])</f>
        <v>1.63</v>
      </c>
      <c r="P349" s="3">
        <f t="shared" si="46"/>
        <v>14</v>
      </c>
      <c r="Q349" s="3">
        <f t="shared" si="47"/>
        <v>12</v>
      </c>
      <c r="R349" s="3">
        <f t="shared" si="48"/>
        <v>51</v>
      </c>
      <c r="S349" s="3" t="str">
        <f t="shared" si="49"/>
        <v>diciembre</v>
      </c>
      <c r="T349" s="21">
        <f t="shared" si="50"/>
        <v>570.5</v>
      </c>
      <c r="U349" s="21">
        <f t="shared" si="51"/>
        <v>517.65</v>
      </c>
      <c r="V349" s="21">
        <f t="shared" si="52"/>
        <v>520.45000000000005</v>
      </c>
      <c r="W349" s="21">
        <f>+Tabla4[[#This Row],[9KWA]]*350</f>
        <v>49.49</v>
      </c>
      <c r="X349" s="21">
        <f>350*Tabla4[[#This Row],[Max Factor Medido]]</f>
        <v>570.5</v>
      </c>
      <c r="Y349" s="39">
        <v>0.94</v>
      </c>
      <c r="Z349" s="3">
        <f t="shared" si="53"/>
        <v>2025</v>
      </c>
      <c r="AA349" s="21">
        <f>+MEDIAN(Tabla4[[#This Row],[kwreal 6]:[kwreal 9]])</f>
        <v>519.04999999999995</v>
      </c>
      <c r="AB349" s="21">
        <f>+Tabla4[[#This Row],[LineaBase-FD]]/350</f>
        <v>1.4829999999999999</v>
      </c>
    </row>
    <row r="350" spans="1:28" x14ac:dyDescent="0.3">
      <c r="A350" s="28">
        <v>3869</v>
      </c>
      <c r="B350" s="3">
        <v>1175</v>
      </c>
      <c r="C350" s="3">
        <v>459</v>
      </c>
      <c r="D350" s="3">
        <v>2034</v>
      </c>
      <c r="E350" s="3">
        <v>199</v>
      </c>
      <c r="F350" s="77">
        <v>1.63</v>
      </c>
      <c r="G350" s="77">
        <v>1.4790000000000001</v>
      </c>
      <c r="H350" s="77">
        <v>1.4870000000000001</v>
      </c>
      <c r="I350" s="77">
        <v>0.1414</v>
      </c>
      <c r="J350" s="20">
        <v>545</v>
      </c>
      <c r="K350" s="8">
        <v>0.39583333333333331</v>
      </c>
      <c r="L350" s="5">
        <v>46006</v>
      </c>
      <c r="M350" s="17">
        <v>0.98</v>
      </c>
      <c r="N350" s="22">
        <v>1.173</v>
      </c>
      <c r="O350" s="22">
        <f>+MAX(Tabla4[[#This Row],[6KWA]:[9KWA]])</f>
        <v>1.63</v>
      </c>
      <c r="P350" s="3">
        <f t="shared" si="46"/>
        <v>15</v>
      </c>
      <c r="Q350" s="3">
        <f t="shared" si="47"/>
        <v>12</v>
      </c>
      <c r="R350" s="3">
        <f t="shared" si="48"/>
        <v>51</v>
      </c>
      <c r="S350" s="3" t="str">
        <f t="shared" si="49"/>
        <v>diciembre</v>
      </c>
      <c r="T350" s="21">
        <f t="shared" si="50"/>
        <v>570.5</v>
      </c>
      <c r="U350" s="21">
        <f t="shared" si="51"/>
        <v>517.65</v>
      </c>
      <c r="V350" s="21">
        <f t="shared" si="52"/>
        <v>520.45000000000005</v>
      </c>
      <c r="W350" s="21">
        <f>+Tabla4[[#This Row],[9KWA]]*350</f>
        <v>49.49</v>
      </c>
      <c r="X350" s="21">
        <f>350*Tabla4[[#This Row],[Max Factor Medido]]</f>
        <v>570.5</v>
      </c>
      <c r="Y350" s="39">
        <v>0.94</v>
      </c>
      <c r="Z350" s="3">
        <f t="shared" si="53"/>
        <v>2025</v>
      </c>
      <c r="AA350" s="21">
        <f>+MEDIAN(Tabla4[[#This Row],[kwreal 6]:[kwreal 9]])</f>
        <v>519.04999999999995</v>
      </c>
      <c r="AB350" s="21">
        <f>+Tabla4[[#This Row],[LineaBase-FD]]/350</f>
        <v>1.4829999999999999</v>
      </c>
    </row>
    <row r="351" spans="1:28" x14ac:dyDescent="0.3">
      <c r="A351" s="29">
        <v>3895</v>
      </c>
      <c r="B351" s="2">
        <v>1185</v>
      </c>
      <c r="C351" s="2">
        <v>464</v>
      </c>
      <c r="D351" s="2">
        <v>2045</v>
      </c>
      <c r="E351" s="2">
        <v>199</v>
      </c>
      <c r="F351" s="77">
        <v>1.63</v>
      </c>
      <c r="G351" s="77">
        <v>1.4790000000000001</v>
      </c>
      <c r="H351" s="77">
        <v>1.4870000000000001</v>
      </c>
      <c r="I351" s="77">
        <v>1.1414</v>
      </c>
      <c r="J351" s="12">
        <v>549</v>
      </c>
      <c r="K351" s="8">
        <v>0.30972222222222223</v>
      </c>
      <c r="L351" s="6">
        <v>46007</v>
      </c>
      <c r="M351" s="11">
        <v>0.98</v>
      </c>
      <c r="N351" s="22">
        <v>1.1259999999999999</v>
      </c>
      <c r="O351" s="22">
        <f>+MAX(Tabla4[[#This Row],[6KWA]:[9KWA]])</f>
        <v>1.63</v>
      </c>
      <c r="P351" s="3">
        <f t="shared" si="46"/>
        <v>16</v>
      </c>
      <c r="Q351" s="3">
        <f t="shared" si="47"/>
        <v>12</v>
      </c>
      <c r="R351" s="3">
        <f t="shared" si="48"/>
        <v>51</v>
      </c>
      <c r="S351" s="3" t="str">
        <f t="shared" si="49"/>
        <v>diciembre</v>
      </c>
      <c r="T351" s="21">
        <f t="shared" si="50"/>
        <v>570.5</v>
      </c>
      <c r="U351" s="21">
        <f t="shared" si="51"/>
        <v>517.65</v>
      </c>
      <c r="V351" s="21">
        <f t="shared" si="52"/>
        <v>520.45000000000005</v>
      </c>
      <c r="W351" s="21">
        <f>+Tabla4[[#This Row],[9KWA]]*350</f>
        <v>399.49</v>
      </c>
      <c r="X351" s="21">
        <f>350*Tabla4[[#This Row],[Max Factor Medido]]</f>
        <v>570.5</v>
      </c>
      <c r="Y351" s="39">
        <v>0.94</v>
      </c>
      <c r="Z351" s="3">
        <f t="shared" si="53"/>
        <v>2025</v>
      </c>
      <c r="AA351" s="21">
        <f>+MEDIAN(Tabla4[[#This Row],[kwreal 6]:[kwreal 9]])</f>
        <v>519.04999999999995</v>
      </c>
      <c r="AB351" s="21">
        <f>+Tabla4[[#This Row],[LineaBase-FD]]/350</f>
        <v>1.4829999999999999</v>
      </c>
    </row>
    <row r="352" spans="1:28" x14ac:dyDescent="0.3">
      <c r="A352" s="29">
        <v>3922</v>
      </c>
      <c r="B352" s="2">
        <v>1198</v>
      </c>
      <c r="C352" s="2">
        <v>469</v>
      </c>
      <c r="D352" s="2">
        <v>2055</v>
      </c>
      <c r="E352" s="2">
        <v>199</v>
      </c>
      <c r="F352" s="77">
        <v>1.63</v>
      </c>
      <c r="G352" s="77">
        <v>1.4790000000000001</v>
      </c>
      <c r="H352" s="77">
        <v>1.4870000000000001</v>
      </c>
      <c r="I352" s="77">
        <v>1.1414</v>
      </c>
      <c r="J352" s="12">
        <v>552</v>
      </c>
      <c r="K352" s="8">
        <v>0.27847222222222223</v>
      </c>
      <c r="L352" s="6">
        <v>46008</v>
      </c>
      <c r="M352" s="11">
        <v>0.99</v>
      </c>
      <c r="N352" s="22">
        <v>1.1120000000000001</v>
      </c>
      <c r="O352" s="22">
        <f>+MAX(Tabla4[[#This Row],[6KWA]:[9KWA]])</f>
        <v>1.63</v>
      </c>
      <c r="P352" s="3">
        <f t="shared" si="46"/>
        <v>17</v>
      </c>
      <c r="Q352" s="3">
        <f t="shared" si="47"/>
        <v>12</v>
      </c>
      <c r="R352" s="3">
        <f t="shared" si="48"/>
        <v>51</v>
      </c>
      <c r="S352" s="3" t="str">
        <f t="shared" si="49"/>
        <v>diciembre</v>
      </c>
      <c r="T352" s="21">
        <f t="shared" si="50"/>
        <v>570.5</v>
      </c>
      <c r="U352" s="21">
        <f t="shared" si="51"/>
        <v>517.65</v>
      </c>
      <c r="V352" s="21">
        <f t="shared" si="52"/>
        <v>520.45000000000005</v>
      </c>
      <c r="W352" s="21">
        <f>+Tabla4[[#This Row],[9KWA]]*350</f>
        <v>399.49</v>
      </c>
      <c r="X352" s="21">
        <f>350*Tabla4[[#This Row],[Max Factor Medido]]</f>
        <v>570.5</v>
      </c>
      <c r="Y352" s="39">
        <v>0.94</v>
      </c>
      <c r="Z352" s="3">
        <f t="shared" si="53"/>
        <v>2025</v>
      </c>
      <c r="AA352" s="21">
        <f>+MEDIAN(Tabla4[[#This Row],[kwreal 6]:[kwreal 9]])</f>
        <v>519.04999999999995</v>
      </c>
      <c r="AB352" s="21">
        <f>+Tabla4[[#This Row],[LineaBase-FD]]/350</f>
        <v>1.4829999999999999</v>
      </c>
    </row>
    <row r="353" spans="1:28" x14ac:dyDescent="0.3">
      <c r="A353" s="28">
        <v>3951</v>
      </c>
      <c r="B353" s="3">
        <v>1210</v>
      </c>
      <c r="C353" s="3">
        <v>474</v>
      </c>
      <c r="D353" s="3">
        <v>2067</v>
      </c>
      <c r="E353" s="3">
        <v>199</v>
      </c>
      <c r="F353" s="77">
        <v>1.63</v>
      </c>
      <c r="G353" s="77">
        <v>1.4790000000000001</v>
      </c>
      <c r="H353" s="77">
        <v>1.4870000000000001</v>
      </c>
      <c r="I353" s="77">
        <v>1.1414</v>
      </c>
      <c r="J353" s="20">
        <v>556</v>
      </c>
      <c r="K353" s="8">
        <v>0.27777777777777779</v>
      </c>
      <c r="L353" s="5">
        <v>46009</v>
      </c>
      <c r="M353" s="17">
        <v>0.98</v>
      </c>
      <c r="N353" s="22">
        <v>1.083</v>
      </c>
      <c r="O353" s="22">
        <f>+MAX(Tabla4[[#This Row],[6KWA]:[9KWA]])</f>
        <v>1.63</v>
      </c>
      <c r="P353" s="3">
        <f t="shared" si="46"/>
        <v>18</v>
      </c>
      <c r="Q353" s="3">
        <f t="shared" si="47"/>
        <v>12</v>
      </c>
      <c r="R353" s="3">
        <f t="shared" si="48"/>
        <v>51</v>
      </c>
      <c r="S353" s="3" t="str">
        <f t="shared" si="49"/>
        <v>diciembre</v>
      </c>
      <c r="T353" s="21">
        <f t="shared" si="50"/>
        <v>570.5</v>
      </c>
      <c r="U353" s="21">
        <f t="shared" si="51"/>
        <v>517.65</v>
      </c>
      <c r="V353" s="21">
        <f t="shared" si="52"/>
        <v>520.45000000000005</v>
      </c>
      <c r="W353" s="21">
        <f>+Tabla4[[#This Row],[9KWA]]*350</f>
        <v>399.49</v>
      </c>
      <c r="X353" s="21">
        <f>350*Tabla4[[#This Row],[Max Factor Medido]]</f>
        <v>570.5</v>
      </c>
      <c r="Y353" s="39">
        <v>0.94</v>
      </c>
      <c r="Z353" s="3">
        <f t="shared" si="53"/>
        <v>2025</v>
      </c>
      <c r="AA353" s="21">
        <f>+MEDIAN(Tabla4[[#This Row],[kwreal 6]:[kwreal 9]])</f>
        <v>519.04999999999995</v>
      </c>
      <c r="AB353" s="21">
        <f>+Tabla4[[#This Row],[LineaBase-FD]]/350</f>
        <v>1.4829999999999999</v>
      </c>
    </row>
    <row r="354" spans="1:28" x14ac:dyDescent="0.3">
      <c r="A354" s="28">
        <v>3981</v>
      </c>
      <c r="B354" s="3">
        <v>1223</v>
      </c>
      <c r="C354" s="3">
        <v>478</v>
      </c>
      <c r="D354" s="3">
        <v>2078</v>
      </c>
      <c r="E354" s="3">
        <v>199</v>
      </c>
      <c r="F354" s="77">
        <v>1.63</v>
      </c>
      <c r="G354" s="77">
        <v>1.4790000000000001</v>
      </c>
      <c r="H354" s="77">
        <v>1.4870000000000001</v>
      </c>
      <c r="I354" s="77">
        <v>1.4139999999999999</v>
      </c>
      <c r="J354" s="20">
        <v>560</v>
      </c>
      <c r="K354" s="8">
        <v>0.27013888888888887</v>
      </c>
      <c r="L354" s="5">
        <v>46010</v>
      </c>
      <c r="M354" s="17">
        <v>0.98</v>
      </c>
      <c r="N354" s="22">
        <v>1.1100000000000001</v>
      </c>
      <c r="O354" s="22">
        <f>+MAX(Tabla4[[#This Row],[6KWA]:[9KWA]])</f>
        <v>1.63</v>
      </c>
      <c r="P354" s="3">
        <f t="shared" si="46"/>
        <v>19</v>
      </c>
      <c r="Q354" s="3">
        <f t="shared" si="47"/>
        <v>12</v>
      </c>
      <c r="R354" s="3">
        <f t="shared" si="48"/>
        <v>51</v>
      </c>
      <c r="S354" s="3" t="str">
        <f t="shared" si="49"/>
        <v>diciembre</v>
      </c>
      <c r="T354" s="21">
        <f t="shared" si="50"/>
        <v>570.5</v>
      </c>
      <c r="U354" s="21">
        <f t="shared" si="51"/>
        <v>517.65</v>
      </c>
      <c r="V354" s="21">
        <f t="shared" si="52"/>
        <v>520.45000000000005</v>
      </c>
      <c r="W354" s="21">
        <f>+Tabla4[[#This Row],[9KWA]]*350</f>
        <v>494.9</v>
      </c>
      <c r="X354" s="21">
        <f>350*Tabla4[[#This Row],[Max Factor Medido]]</f>
        <v>570.5</v>
      </c>
      <c r="Y354" s="39">
        <v>0.94</v>
      </c>
      <c r="Z354" s="3">
        <f t="shared" si="53"/>
        <v>2025</v>
      </c>
      <c r="AA354" s="21">
        <f>+MEDIAN(Tabla4[[#This Row],[kwreal 6]:[kwreal 9]])</f>
        <v>519.04999999999995</v>
      </c>
      <c r="AB354" s="21">
        <f>+Tabla4[[#This Row],[LineaBase-FD]]/350</f>
        <v>1.4829999999999999</v>
      </c>
    </row>
    <row r="355" spans="1:28" x14ac:dyDescent="0.3">
      <c r="A355" s="28">
        <v>4010</v>
      </c>
      <c r="B355" s="3">
        <v>1236</v>
      </c>
      <c r="C355" s="3">
        <v>484</v>
      </c>
      <c r="D355" s="3">
        <v>2090</v>
      </c>
      <c r="E355" s="3">
        <v>199</v>
      </c>
      <c r="F355" s="77">
        <v>1.63</v>
      </c>
      <c r="G355" s="77">
        <v>1.4790000000000001</v>
      </c>
      <c r="H355" s="77">
        <v>1.4870000000000001</v>
      </c>
      <c r="I355" s="77">
        <v>1.4139999999999999</v>
      </c>
      <c r="J355" s="20">
        <v>565</v>
      </c>
      <c r="K355" s="8">
        <v>0.29444444444444445</v>
      </c>
      <c r="L355" s="5">
        <v>46011</v>
      </c>
      <c r="M355" s="17">
        <v>0.98</v>
      </c>
      <c r="N355" s="22">
        <v>1.0209999999999999</v>
      </c>
      <c r="O355" s="22">
        <f>+MAX(Tabla4[[#This Row],[6KWA]:[9KWA]])</f>
        <v>1.63</v>
      </c>
      <c r="P355" s="3">
        <f t="shared" si="46"/>
        <v>20</v>
      </c>
      <c r="Q355" s="3">
        <f t="shared" si="47"/>
        <v>12</v>
      </c>
      <c r="R355" s="3">
        <f t="shared" si="48"/>
        <v>51</v>
      </c>
      <c r="S355" s="3" t="str">
        <f t="shared" si="49"/>
        <v>diciembre</v>
      </c>
      <c r="T355" s="21">
        <f t="shared" si="50"/>
        <v>570.5</v>
      </c>
      <c r="U355" s="21">
        <f t="shared" si="51"/>
        <v>517.65</v>
      </c>
      <c r="V355" s="21">
        <f t="shared" si="52"/>
        <v>520.45000000000005</v>
      </c>
      <c r="W355" s="21">
        <f>+Tabla4[[#This Row],[9KWA]]*350</f>
        <v>494.9</v>
      </c>
      <c r="X355" s="21">
        <f>350*Tabla4[[#This Row],[Max Factor Medido]]</f>
        <v>570.5</v>
      </c>
      <c r="Y355" s="39">
        <v>0.94</v>
      </c>
      <c r="Z355" s="3">
        <f t="shared" si="53"/>
        <v>2025</v>
      </c>
      <c r="AA355" s="21">
        <f>+MEDIAN(Tabla4[[#This Row],[kwreal 6]:[kwreal 9]])</f>
        <v>519.04999999999995</v>
      </c>
      <c r="AB355" s="21">
        <f>+Tabla4[[#This Row],[LineaBase-FD]]/350</f>
        <v>1.4829999999999999</v>
      </c>
    </row>
    <row r="356" spans="1:28" x14ac:dyDescent="0.3">
      <c r="A356" s="28">
        <v>4041</v>
      </c>
      <c r="B356" s="3">
        <v>1236</v>
      </c>
      <c r="C356" s="3">
        <v>484</v>
      </c>
      <c r="D356" s="3">
        <v>2116</v>
      </c>
      <c r="E356" s="3">
        <v>204</v>
      </c>
      <c r="F356" s="77">
        <v>1.63</v>
      </c>
      <c r="G356" s="77">
        <v>1.4790000000000001</v>
      </c>
      <c r="H356" s="77">
        <v>1.5609999999999999</v>
      </c>
      <c r="I356" s="77">
        <v>1.421</v>
      </c>
      <c r="J356" s="20">
        <v>569</v>
      </c>
      <c r="K356" s="8">
        <v>0.29652777777777778</v>
      </c>
      <c r="L356" s="5">
        <v>46012</v>
      </c>
      <c r="M356" s="17">
        <v>0.98</v>
      </c>
      <c r="N356" s="22">
        <v>1.165</v>
      </c>
      <c r="O356" s="22">
        <f>+MAX(Tabla4[[#This Row],[6KWA]:[9KWA]])</f>
        <v>1.63</v>
      </c>
      <c r="P356" s="3">
        <f t="shared" si="46"/>
        <v>21</v>
      </c>
      <c r="Q356" s="3">
        <f t="shared" si="47"/>
        <v>12</v>
      </c>
      <c r="R356" s="3">
        <f t="shared" si="48"/>
        <v>52</v>
      </c>
      <c r="S356" s="3" t="str">
        <f t="shared" si="49"/>
        <v>diciembre</v>
      </c>
      <c r="T356" s="21">
        <f t="shared" si="50"/>
        <v>570.5</v>
      </c>
      <c r="U356" s="21">
        <f t="shared" si="51"/>
        <v>517.65</v>
      </c>
      <c r="V356" s="21">
        <f t="shared" si="52"/>
        <v>546.35</v>
      </c>
      <c r="W356" s="21">
        <f>+Tabla4[[#This Row],[9KWA]]*350</f>
        <v>497.35</v>
      </c>
      <c r="X356" s="21">
        <f>350*Tabla4[[#This Row],[Max Factor Medido]]</f>
        <v>570.5</v>
      </c>
      <c r="Y356" s="39">
        <v>0.94</v>
      </c>
      <c r="Z356" s="3">
        <f t="shared" si="53"/>
        <v>2025</v>
      </c>
      <c r="AA356" s="21">
        <f>+MEDIAN(Tabla4[[#This Row],[kwreal 6]:[kwreal 9]])</f>
        <v>532</v>
      </c>
      <c r="AB356" s="21">
        <f>+Tabla4[[#This Row],[LineaBase-FD]]/350</f>
        <v>1.52</v>
      </c>
    </row>
    <row r="357" spans="1:28" x14ac:dyDescent="0.3">
      <c r="A357" s="28">
        <v>4071</v>
      </c>
      <c r="B357" s="3">
        <v>1236</v>
      </c>
      <c r="C357" s="3">
        <v>484</v>
      </c>
      <c r="D357" s="3">
        <v>2140</v>
      </c>
      <c r="E357" s="3">
        <v>209</v>
      </c>
      <c r="F357" s="77">
        <v>1.63</v>
      </c>
      <c r="G357" s="77">
        <v>1.4790000000000001</v>
      </c>
      <c r="H357" s="77">
        <v>1.5609999999999999</v>
      </c>
      <c r="I357" s="77">
        <v>1.421</v>
      </c>
      <c r="J357" s="20">
        <v>572</v>
      </c>
      <c r="K357" s="8">
        <v>0.29722222222222222</v>
      </c>
      <c r="L357" s="5">
        <v>46013</v>
      </c>
      <c r="M357" s="17">
        <v>0.98</v>
      </c>
      <c r="N357" s="22">
        <v>1.157</v>
      </c>
      <c r="O357" s="22">
        <f>+MAX(Tabla4[[#This Row],[6KWA]:[9KWA]])</f>
        <v>1.63</v>
      </c>
      <c r="P357" s="3">
        <f t="shared" si="46"/>
        <v>22</v>
      </c>
      <c r="Q357" s="3">
        <f t="shared" si="47"/>
        <v>12</v>
      </c>
      <c r="R357" s="3">
        <f t="shared" si="48"/>
        <v>52</v>
      </c>
      <c r="S357" s="3" t="str">
        <f t="shared" si="49"/>
        <v>diciembre</v>
      </c>
      <c r="T357" s="21">
        <f t="shared" si="50"/>
        <v>570.5</v>
      </c>
      <c r="U357" s="21">
        <f t="shared" si="51"/>
        <v>517.65</v>
      </c>
      <c r="V357" s="21">
        <f t="shared" si="52"/>
        <v>546.35</v>
      </c>
      <c r="W357" s="21">
        <f>+Tabla4[[#This Row],[9KWA]]*350</f>
        <v>497.35</v>
      </c>
      <c r="X357" s="21">
        <f>350*Tabla4[[#This Row],[Max Factor Medido]]</f>
        <v>570.5</v>
      </c>
      <c r="Y357" s="39">
        <v>0.94</v>
      </c>
      <c r="Z357" s="3">
        <f t="shared" si="53"/>
        <v>2025</v>
      </c>
      <c r="AA357" s="21">
        <f>+MEDIAN(Tabla4[[#This Row],[kwreal 6]:[kwreal 9]])</f>
        <v>532</v>
      </c>
      <c r="AB357" s="21">
        <f>+Tabla4[[#This Row],[LineaBase-FD]]/350</f>
        <v>1.52</v>
      </c>
    </row>
    <row r="358" spans="1:28" x14ac:dyDescent="0.3">
      <c r="A358" s="28">
        <v>4101</v>
      </c>
      <c r="B358" s="3">
        <v>1249</v>
      </c>
      <c r="C358" s="3">
        <v>489</v>
      </c>
      <c r="D358" s="3">
        <v>2152</v>
      </c>
      <c r="E358" s="3">
        <v>209</v>
      </c>
      <c r="F358" s="77">
        <v>1.63</v>
      </c>
      <c r="G358" s="77">
        <v>1.4790000000000001</v>
      </c>
      <c r="H358" s="77">
        <v>1.5609999999999999</v>
      </c>
      <c r="I358" s="77">
        <v>1.421</v>
      </c>
      <c r="J358" s="20">
        <v>575</v>
      </c>
      <c r="K358" s="8">
        <v>0.31666666666666665</v>
      </c>
      <c r="L358" s="5">
        <v>46014</v>
      </c>
      <c r="M358" s="17">
        <v>0.98</v>
      </c>
      <c r="N358" s="22">
        <v>1.07</v>
      </c>
      <c r="O358" s="22">
        <f>+MAX(Tabla4[[#This Row],[6KWA]:[9KWA]])</f>
        <v>1.63</v>
      </c>
      <c r="P358" s="3">
        <f t="shared" si="46"/>
        <v>23</v>
      </c>
      <c r="Q358" s="3">
        <f t="shared" si="47"/>
        <v>12</v>
      </c>
      <c r="R358" s="3">
        <f t="shared" si="48"/>
        <v>52</v>
      </c>
      <c r="S358" s="3" t="str">
        <f t="shared" si="49"/>
        <v>diciembre</v>
      </c>
      <c r="T358" s="21">
        <f t="shared" si="50"/>
        <v>570.5</v>
      </c>
      <c r="U358" s="21">
        <f t="shared" si="51"/>
        <v>517.65</v>
      </c>
      <c r="V358" s="21">
        <f t="shared" si="52"/>
        <v>546.35</v>
      </c>
      <c r="W358" s="21">
        <f>+Tabla4[[#This Row],[9KWA]]*350</f>
        <v>497.35</v>
      </c>
      <c r="X358" s="21">
        <f>350*Tabla4[[#This Row],[Max Factor Medido]]</f>
        <v>570.5</v>
      </c>
      <c r="Y358" s="39">
        <v>0.94</v>
      </c>
      <c r="Z358" s="3">
        <f t="shared" si="53"/>
        <v>2025</v>
      </c>
      <c r="AA358" s="21">
        <f>+MEDIAN(Tabla4[[#This Row],[kwreal 6]:[kwreal 9]])</f>
        <v>532</v>
      </c>
      <c r="AB358" s="21">
        <f>+Tabla4[[#This Row],[LineaBase-FD]]/350</f>
        <v>1.52</v>
      </c>
    </row>
    <row r="359" spans="1:28" x14ac:dyDescent="0.3">
      <c r="A359" s="28">
        <v>4130</v>
      </c>
      <c r="B359" s="3">
        <v>1262</v>
      </c>
      <c r="C359" s="3">
        <v>494</v>
      </c>
      <c r="D359" s="3">
        <v>2163</v>
      </c>
      <c r="E359" s="3">
        <v>209</v>
      </c>
      <c r="F359" s="77">
        <v>1.63</v>
      </c>
      <c r="G359" s="77">
        <v>1.4790000000000001</v>
      </c>
      <c r="H359" s="77">
        <v>1.5609999999999999</v>
      </c>
      <c r="I359" s="77">
        <v>1.421</v>
      </c>
      <c r="J359" s="20">
        <v>578</v>
      </c>
      <c r="K359" s="8">
        <v>0.28055555555555556</v>
      </c>
      <c r="L359" s="5">
        <v>46015</v>
      </c>
      <c r="M359" s="17">
        <v>0.99</v>
      </c>
      <c r="N359" s="22">
        <v>1.024</v>
      </c>
      <c r="O359" s="22">
        <f>+MAX(Tabla4[[#This Row],[6KWA]:[9KWA]])</f>
        <v>1.63</v>
      </c>
      <c r="P359" s="3">
        <f t="shared" si="46"/>
        <v>24</v>
      </c>
      <c r="Q359" s="3">
        <f t="shared" si="47"/>
        <v>12</v>
      </c>
      <c r="R359" s="3">
        <f t="shared" si="48"/>
        <v>52</v>
      </c>
      <c r="S359" s="3" t="str">
        <f t="shared" si="49"/>
        <v>diciembre</v>
      </c>
      <c r="T359" s="21">
        <f t="shared" si="50"/>
        <v>570.5</v>
      </c>
      <c r="U359" s="21">
        <f t="shared" si="51"/>
        <v>517.65</v>
      </c>
      <c r="V359" s="21">
        <f t="shared" si="52"/>
        <v>546.35</v>
      </c>
      <c r="W359" s="21">
        <f>+Tabla4[[#This Row],[9KWA]]*350</f>
        <v>497.35</v>
      </c>
      <c r="X359" s="21">
        <f>350*Tabla4[[#This Row],[Max Factor Medido]]</f>
        <v>570.5</v>
      </c>
      <c r="Y359" s="39">
        <v>0.94</v>
      </c>
      <c r="Z359" s="3">
        <f t="shared" si="53"/>
        <v>2025</v>
      </c>
      <c r="AA359" s="21">
        <f>+MEDIAN(Tabla4[[#This Row],[kwreal 6]:[kwreal 9]])</f>
        <v>532</v>
      </c>
      <c r="AB359" s="21">
        <f>+Tabla4[[#This Row],[LineaBase-FD]]/350</f>
        <v>1.52</v>
      </c>
    </row>
    <row r="360" spans="1:28" x14ac:dyDescent="0.3">
      <c r="A360" s="28">
        <v>4160</v>
      </c>
      <c r="B360" s="3">
        <v>1275</v>
      </c>
      <c r="C360" s="3">
        <v>499</v>
      </c>
      <c r="D360" s="3">
        <v>2175</v>
      </c>
      <c r="E360" s="3">
        <v>209</v>
      </c>
      <c r="F360" s="77">
        <v>1.63</v>
      </c>
      <c r="G360" s="77">
        <v>1.4790000000000001</v>
      </c>
      <c r="H360" s="77">
        <v>1.5609999999999999</v>
      </c>
      <c r="I360" s="77">
        <v>1.421</v>
      </c>
      <c r="J360" s="20">
        <v>582</v>
      </c>
      <c r="K360" s="8">
        <v>0.28472222222222221</v>
      </c>
      <c r="L360" s="5">
        <v>46016</v>
      </c>
      <c r="M360" s="17">
        <v>0.98</v>
      </c>
      <c r="N360" s="22">
        <v>1.2629999999999999</v>
      </c>
      <c r="O360" s="22">
        <f>+MAX(Tabla4[[#This Row],[6KWA]:[9KWA]])</f>
        <v>1.63</v>
      </c>
      <c r="P360" s="3">
        <f t="shared" si="46"/>
        <v>25</v>
      </c>
      <c r="Q360" s="3">
        <f t="shared" si="47"/>
        <v>12</v>
      </c>
      <c r="R360" s="3">
        <f t="shared" si="48"/>
        <v>52</v>
      </c>
      <c r="S360" s="3" t="str">
        <f t="shared" si="49"/>
        <v>diciembre</v>
      </c>
      <c r="T360" s="21">
        <f t="shared" si="50"/>
        <v>570.5</v>
      </c>
      <c r="U360" s="21">
        <f t="shared" si="51"/>
        <v>517.65</v>
      </c>
      <c r="V360" s="21">
        <f t="shared" si="52"/>
        <v>546.35</v>
      </c>
      <c r="W360" s="21">
        <f>+Tabla4[[#This Row],[9KWA]]*350</f>
        <v>497.35</v>
      </c>
      <c r="X360" s="21">
        <f>350*Tabla4[[#This Row],[Max Factor Medido]]</f>
        <v>570.5</v>
      </c>
      <c r="Y360" s="39">
        <v>0.94</v>
      </c>
      <c r="Z360" s="3">
        <f t="shared" si="53"/>
        <v>2025</v>
      </c>
      <c r="AA360" s="21">
        <f>+MEDIAN(Tabla4[[#This Row],[kwreal 6]:[kwreal 9]])</f>
        <v>532</v>
      </c>
      <c r="AB360" s="21">
        <f>+Tabla4[[#This Row],[LineaBase-FD]]/350</f>
        <v>1.52</v>
      </c>
    </row>
    <row r="361" spans="1:28" x14ac:dyDescent="0.3">
      <c r="A361" s="28">
        <v>4190</v>
      </c>
      <c r="B361" s="3">
        <v>1275</v>
      </c>
      <c r="C361" s="3">
        <v>504</v>
      </c>
      <c r="D361" s="3">
        <v>2200</v>
      </c>
      <c r="E361" s="3">
        <v>215</v>
      </c>
      <c r="F361" s="77">
        <v>1.63</v>
      </c>
      <c r="G361" s="77">
        <v>1.4790000000000001</v>
      </c>
      <c r="H361" s="77">
        <v>1.5609999999999999</v>
      </c>
      <c r="I361" s="77">
        <v>1.421</v>
      </c>
      <c r="J361" s="20">
        <v>586</v>
      </c>
      <c r="K361" s="8">
        <v>0.29444444444444445</v>
      </c>
      <c r="L361" s="5">
        <v>46017</v>
      </c>
      <c r="M361" s="17">
        <v>0.99</v>
      </c>
      <c r="N361" s="22">
        <v>1.1599999999999999</v>
      </c>
      <c r="O361" s="22">
        <f>+MAX(Tabla4[[#This Row],[6KWA]:[9KWA]])</f>
        <v>1.63</v>
      </c>
      <c r="P361" s="3">
        <f t="shared" si="46"/>
        <v>26</v>
      </c>
      <c r="Q361" s="3">
        <f t="shared" si="47"/>
        <v>12</v>
      </c>
      <c r="R361" s="3">
        <f t="shared" si="48"/>
        <v>52</v>
      </c>
      <c r="S361" s="3" t="str">
        <f t="shared" si="49"/>
        <v>diciembre</v>
      </c>
      <c r="T361" s="21">
        <f t="shared" si="50"/>
        <v>570.5</v>
      </c>
      <c r="U361" s="21">
        <f t="shared" si="51"/>
        <v>517.65</v>
      </c>
      <c r="V361" s="21">
        <f t="shared" si="52"/>
        <v>546.35</v>
      </c>
      <c r="W361" s="21">
        <f>+Tabla4[[#This Row],[9KWA]]*350</f>
        <v>497.35</v>
      </c>
      <c r="X361" s="21">
        <f>350*Tabla4[[#This Row],[Max Factor Medido]]</f>
        <v>570.5</v>
      </c>
      <c r="Y361" s="39">
        <v>0.94</v>
      </c>
      <c r="Z361" s="3">
        <f t="shared" si="53"/>
        <v>2025</v>
      </c>
      <c r="AA361" s="21">
        <f>+MEDIAN(Tabla4[[#This Row],[kwreal 6]:[kwreal 9]])</f>
        <v>532</v>
      </c>
      <c r="AB361" s="21">
        <f>+Tabla4[[#This Row],[LineaBase-FD]]/350</f>
        <v>1.52</v>
      </c>
    </row>
    <row r="362" spans="1:28" x14ac:dyDescent="0.3">
      <c r="A362" s="28">
        <v>4221</v>
      </c>
      <c r="B362" s="3">
        <v>1288</v>
      </c>
      <c r="C362" s="3">
        <v>504</v>
      </c>
      <c r="D362" s="3">
        <v>2213</v>
      </c>
      <c r="E362" s="3">
        <v>215</v>
      </c>
      <c r="F362" s="77">
        <v>1.63</v>
      </c>
      <c r="G362" s="77">
        <v>1.4790000000000001</v>
      </c>
      <c r="H362" s="77">
        <v>1.5609999999999999</v>
      </c>
      <c r="I362" s="77">
        <v>1.421</v>
      </c>
      <c r="J362" s="20">
        <v>590</v>
      </c>
      <c r="K362" s="8">
        <v>0.30138888888888887</v>
      </c>
      <c r="L362" s="5">
        <v>46018</v>
      </c>
      <c r="M362" s="17">
        <v>0.98</v>
      </c>
      <c r="N362" s="22">
        <v>1.071</v>
      </c>
      <c r="O362" s="22">
        <f>+MAX(Tabla4[[#This Row],[6KWA]:[9KWA]])</f>
        <v>1.63</v>
      </c>
      <c r="P362" s="3">
        <f t="shared" si="46"/>
        <v>27</v>
      </c>
      <c r="Q362" s="3">
        <f t="shared" si="47"/>
        <v>12</v>
      </c>
      <c r="R362" s="3">
        <f t="shared" si="48"/>
        <v>52</v>
      </c>
      <c r="S362" s="3" t="str">
        <f t="shared" si="49"/>
        <v>diciembre</v>
      </c>
      <c r="T362" s="21">
        <f t="shared" si="50"/>
        <v>570.5</v>
      </c>
      <c r="U362" s="21">
        <f t="shared" si="51"/>
        <v>517.65</v>
      </c>
      <c r="V362" s="21">
        <f t="shared" si="52"/>
        <v>546.35</v>
      </c>
      <c r="W362" s="21">
        <f>+Tabla4[[#This Row],[9KWA]]*350</f>
        <v>497.35</v>
      </c>
      <c r="X362" s="21">
        <f>350*Tabla4[[#This Row],[Max Factor Medido]]</f>
        <v>570.5</v>
      </c>
      <c r="Y362" s="39">
        <v>0.94</v>
      </c>
      <c r="Z362" s="3">
        <f t="shared" si="53"/>
        <v>2025</v>
      </c>
      <c r="AA362" s="21">
        <f>+MEDIAN(Tabla4[[#This Row],[kwreal 6]:[kwreal 9]])</f>
        <v>532</v>
      </c>
      <c r="AB362" s="21">
        <f>+Tabla4[[#This Row],[LineaBase-FD]]/350</f>
        <v>1.52</v>
      </c>
    </row>
    <row r="363" spans="1:28" x14ac:dyDescent="0.3">
      <c r="A363" s="28">
        <v>4253</v>
      </c>
      <c r="B363" s="3">
        <v>1288</v>
      </c>
      <c r="C363" s="3">
        <v>504</v>
      </c>
      <c r="D363" s="3">
        <v>2239</v>
      </c>
      <c r="E363" s="3">
        <v>220</v>
      </c>
      <c r="F363" s="77">
        <v>1.63</v>
      </c>
      <c r="G363" s="77">
        <v>1.4790000000000001</v>
      </c>
      <c r="H363" s="77">
        <v>1.5609999999999999</v>
      </c>
      <c r="I363" s="77">
        <v>1.4790000000000001</v>
      </c>
      <c r="J363" s="20">
        <v>594</v>
      </c>
      <c r="K363" s="8">
        <v>0.36319444444444443</v>
      </c>
      <c r="L363" s="5">
        <v>46019</v>
      </c>
      <c r="M363" s="17">
        <v>0.99</v>
      </c>
      <c r="N363" s="22">
        <v>1.075</v>
      </c>
      <c r="O363" s="22">
        <f>+MAX(Tabla4[[#This Row],[6KWA]:[9KWA]])</f>
        <v>1.63</v>
      </c>
      <c r="P363" s="3">
        <f t="shared" si="46"/>
        <v>28</v>
      </c>
      <c r="Q363" s="3">
        <f t="shared" si="47"/>
        <v>12</v>
      </c>
      <c r="R363" s="3">
        <f t="shared" si="48"/>
        <v>53</v>
      </c>
      <c r="S363" s="3" t="str">
        <f t="shared" si="49"/>
        <v>diciembre</v>
      </c>
      <c r="T363" s="21">
        <f t="shared" si="50"/>
        <v>570.5</v>
      </c>
      <c r="U363" s="21">
        <f t="shared" si="51"/>
        <v>517.65</v>
      </c>
      <c r="V363" s="21">
        <f t="shared" si="52"/>
        <v>546.35</v>
      </c>
      <c r="W363" s="21">
        <f>+Tabla4[[#This Row],[9KWA]]*350</f>
        <v>517.65</v>
      </c>
      <c r="X363" s="21">
        <f>350*Tabla4[[#This Row],[Max Factor Medido]]</f>
        <v>570.5</v>
      </c>
      <c r="Y363" s="39">
        <v>0.94</v>
      </c>
      <c r="Z363" s="3">
        <f t="shared" si="53"/>
        <v>2025</v>
      </c>
      <c r="AA363" s="21">
        <f>+MEDIAN(Tabla4[[#This Row],[kwreal 6]:[kwreal 9]])</f>
        <v>532</v>
      </c>
      <c r="AB363" s="21">
        <f>+Tabla4[[#This Row],[LineaBase-FD]]/350</f>
        <v>1.52</v>
      </c>
    </row>
    <row r="364" spans="1:28" s="64" customFormat="1" x14ac:dyDescent="0.3">
      <c r="A364" s="32">
        <v>4282</v>
      </c>
      <c r="B364" s="33">
        <v>1288</v>
      </c>
      <c r="C364" s="33">
        <v>504</v>
      </c>
      <c r="D364" s="33">
        <v>2263</v>
      </c>
      <c r="E364" s="33">
        <v>225</v>
      </c>
      <c r="F364" s="78">
        <v>1.63</v>
      </c>
      <c r="G364" s="78">
        <v>1.4790000000000001</v>
      </c>
      <c r="H364" s="78">
        <v>1.5609999999999999</v>
      </c>
      <c r="I364" s="78">
        <v>1.4790000000000001</v>
      </c>
      <c r="J364" s="34">
        <v>597</v>
      </c>
      <c r="K364" s="35">
        <v>0.33333333333333331</v>
      </c>
      <c r="L364" s="36">
        <v>46020</v>
      </c>
      <c r="M364" s="37">
        <v>0.99</v>
      </c>
      <c r="N364" s="38">
        <v>1.145</v>
      </c>
      <c r="O364" s="22">
        <f>+MAX(Tabla4[[#This Row],[6KWA]:[9KWA]])</f>
        <v>1.63</v>
      </c>
      <c r="P364" s="33">
        <f t="shared" si="46"/>
        <v>29</v>
      </c>
      <c r="Q364" s="33">
        <f t="shared" si="47"/>
        <v>12</v>
      </c>
      <c r="R364" s="33">
        <f t="shared" si="48"/>
        <v>53</v>
      </c>
      <c r="S364" s="33" t="str">
        <f t="shared" si="49"/>
        <v>diciembre</v>
      </c>
      <c r="T364" s="39">
        <f t="shared" si="50"/>
        <v>570.5</v>
      </c>
      <c r="U364" s="39">
        <f t="shared" si="51"/>
        <v>517.65</v>
      </c>
      <c r="V364" s="39">
        <f t="shared" si="52"/>
        <v>546.35</v>
      </c>
      <c r="W364" s="39">
        <f>+Tabla4[[#This Row],[9KWA]]*350</f>
        <v>517.65</v>
      </c>
      <c r="X364" s="21">
        <f>350*Tabla4[[#This Row],[Max Factor Medido]]</f>
        <v>570.5</v>
      </c>
      <c r="Y364" s="39">
        <v>0.94</v>
      </c>
      <c r="Z364" s="33">
        <f t="shared" si="53"/>
        <v>2025</v>
      </c>
      <c r="AA364" s="21">
        <f>+MEDIAN(Tabla4[[#This Row],[kwreal 6]:[kwreal 9]])</f>
        <v>532</v>
      </c>
      <c r="AB364" s="21">
        <f>+Tabla4[[#This Row],[LineaBase-FD]]/350</f>
        <v>1.52</v>
      </c>
    </row>
    <row r="365" spans="1:28" x14ac:dyDescent="0.3">
      <c r="A365" s="45">
        <v>4369</v>
      </c>
      <c r="B365" s="48">
        <v>1327</v>
      </c>
      <c r="C365" s="48">
        <v>520</v>
      </c>
      <c r="D365" s="48">
        <v>2297</v>
      </c>
      <c r="E365" s="48">
        <v>225</v>
      </c>
      <c r="F365" s="79">
        <v>0</v>
      </c>
      <c r="G365" s="79">
        <v>0</v>
      </c>
      <c r="H365" s="79">
        <v>1.351</v>
      </c>
      <c r="I365" s="79">
        <v>0</v>
      </c>
      <c r="J365" s="52">
        <v>600</v>
      </c>
      <c r="K365" s="55">
        <v>0</v>
      </c>
      <c r="L365" s="58">
        <v>46023</v>
      </c>
      <c r="M365" s="60">
        <v>0.99</v>
      </c>
      <c r="N365" s="68">
        <v>1.1359999999999999</v>
      </c>
      <c r="O365" s="22">
        <f>+MAX(Tabla4[[#This Row],[6KWA]:[9KWA]])</f>
        <v>1.351</v>
      </c>
      <c r="P365" s="3">
        <f t="shared" ref="P365:P397" si="54">+DAY(L365)</f>
        <v>1</v>
      </c>
      <c r="Q365" s="3">
        <f t="shared" ref="Q365:Q397" si="55">+MONTH(L365)</f>
        <v>1</v>
      </c>
      <c r="R365" s="3">
        <f t="shared" si="48"/>
        <v>1</v>
      </c>
      <c r="S365" s="3" t="str">
        <f t="shared" si="49"/>
        <v>enero</v>
      </c>
      <c r="T365" s="21">
        <f t="shared" ref="T365:T397" si="56">350*F365</f>
        <v>0</v>
      </c>
      <c r="U365" s="21">
        <f t="shared" ref="U365:U397" si="57">350*G365</f>
        <v>0</v>
      </c>
      <c r="V365" s="21">
        <f t="shared" ref="V365:V397" si="58">350*H365</f>
        <v>472.84999999999997</v>
      </c>
      <c r="W365" s="21">
        <f>+Tabla4[[#This Row],[9KWA]]*350</f>
        <v>0</v>
      </c>
      <c r="X365" s="21">
        <f>350*Tabla4[[#This Row],[Max Factor Medido]]</f>
        <v>472.84999999999997</v>
      </c>
      <c r="Y365" s="39">
        <v>0.94</v>
      </c>
      <c r="Z365" s="3">
        <f t="shared" si="53"/>
        <v>2026</v>
      </c>
      <c r="AA365" s="74">
        <f>+MEDIAN(Tabla4[[#This Row],[kwreal 6]:[kwreal 9]])</f>
        <v>0</v>
      </c>
      <c r="AB365" s="74">
        <f>+Tabla4[[#This Row],[LineaBase-FD]]/350</f>
        <v>0</v>
      </c>
    </row>
    <row r="366" spans="1:28" x14ac:dyDescent="0.3">
      <c r="A366" s="46">
        <v>4399</v>
      </c>
      <c r="B366" s="48">
        <v>1327</v>
      </c>
      <c r="C366" s="48">
        <v>520</v>
      </c>
      <c r="D366" s="49">
        <v>2322</v>
      </c>
      <c r="E366" s="49">
        <v>230</v>
      </c>
      <c r="F366" s="79">
        <v>0</v>
      </c>
      <c r="G366" s="79">
        <v>0</v>
      </c>
      <c r="H366" s="80">
        <v>1.4530000000000001</v>
      </c>
      <c r="I366" s="80">
        <v>1.3280000000000001</v>
      </c>
      <c r="J366" s="53">
        <v>612</v>
      </c>
      <c r="K366" s="55">
        <v>0.25</v>
      </c>
      <c r="L366" s="58">
        <v>46024</v>
      </c>
      <c r="M366" s="61">
        <v>0.99</v>
      </c>
      <c r="N366" s="69">
        <v>1.367</v>
      </c>
      <c r="O366" s="22">
        <f>+MAX(Tabla4[[#This Row],[6KWA]:[9KWA]])</f>
        <v>1.4530000000000001</v>
      </c>
      <c r="P366" s="111">
        <f t="shared" si="54"/>
        <v>2</v>
      </c>
      <c r="Q366" s="3">
        <f t="shared" si="55"/>
        <v>1</v>
      </c>
      <c r="R366" s="3">
        <f t="shared" si="48"/>
        <v>1</v>
      </c>
      <c r="S366" s="3" t="str">
        <f t="shared" si="49"/>
        <v>enero</v>
      </c>
      <c r="T366" s="21">
        <f t="shared" si="56"/>
        <v>0</v>
      </c>
      <c r="U366" s="21">
        <f t="shared" si="57"/>
        <v>0</v>
      </c>
      <c r="V366" s="21">
        <f t="shared" si="58"/>
        <v>508.55</v>
      </c>
      <c r="W366" s="21">
        <f>+Tabla4[[#This Row],[9KWA]]*350</f>
        <v>464.8</v>
      </c>
      <c r="X366" s="21">
        <f>350*Tabla4[[#This Row],[Max Factor Medido]]</f>
        <v>508.55</v>
      </c>
      <c r="Y366" s="39">
        <v>0.94</v>
      </c>
      <c r="Z366" s="3">
        <f t="shared" ref="Z366:Z397" si="59">+YEAR(L366)</f>
        <v>2026</v>
      </c>
      <c r="AA366" s="74">
        <f>+MEDIAN(Tabla4[[#This Row],[kwreal 6]:[kwreal 9]])</f>
        <v>232.4</v>
      </c>
      <c r="AB366" s="74">
        <f>+Tabla4[[#This Row],[LineaBase-FD]]/350</f>
        <v>0.66400000000000003</v>
      </c>
    </row>
    <row r="367" spans="1:28" x14ac:dyDescent="0.3">
      <c r="A367" s="46">
        <v>4429</v>
      </c>
      <c r="B367" s="48">
        <v>1340</v>
      </c>
      <c r="C367" s="48">
        <v>525</v>
      </c>
      <c r="D367" s="49">
        <v>2333</v>
      </c>
      <c r="E367" s="49">
        <v>230</v>
      </c>
      <c r="F367" s="80">
        <v>1.49</v>
      </c>
      <c r="G367" s="80">
        <v>1.4350000000000001</v>
      </c>
      <c r="H367" s="80">
        <v>1.4530000000000001</v>
      </c>
      <c r="I367" s="80">
        <v>1.3280000000000001</v>
      </c>
      <c r="J367" s="53">
        <v>616</v>
      </c>
      <c r="K367" s="55">
        <v>0.25</v>
      </c>
      <c r="L367" s="58">
        <v>46025</v>
      </c>
      <c r="M367" s="61">
        <v>0.99</v>
      </c>
      <c r="N367" s="69">
        <v>1.296</v>
      </c>
      <c r="O367" s="22">
        <f>+MAX(Tabla4[[#This Row],[6KWA]:[9KWA]])</f>
        <v>1.49</v>
      </c>
      <c r="P367" s="111">
        <f t="shared" si="54"/>
        <v>3</v>
      </c>
      <c r="Q367" s="3">
        <f t="shared" si="55"/>
        <v>1</v>
      </c>
      <c r="R367" s="3">
        <f t="shared" si="48"/>
        <v>1</v>
      </c>
      <c r="S367" s="3" t="str">
        <f t="shared" si="49"/>
        <v>enero</v>
      </c>
      <c r="T367" s="21">
        <f t="shared" si="56"/>
        <v>521.5</v>
      </c>
      <c r="U367" s="21">
        <f t="shared" si="57"/>
        <v>502.25</v>
      </c>
      <c r="V367" s="21">
        <f t="shared" si="58"/>
        <v>508.55</v>
      </c>
      <c r="W367" s="21">
        <f>+Tabla4[[#This Row],[9KWA]]*350</f>
        <v>464.8</v>
      </c>
      <c r="X367" s="21">
        <f>350*Tabla4[[#This Row],[Max Factor Medido]]</f>
        <v>521.5</v>
      </c>
      <c r="Y367" s="39">
        <v>0.94</v>
      </c>
      <c r="Z367" s="3">
        <f t="shared" si="59"/>
        <v>2026</v>
      </c>
      <c r="AA367" s="74">
        <f>+MEDIAN(Tabla4[[#This Row],[kwreal 6]:[kwreal 9]])</f>
        <v>505.4</v>
      </c>
      <c r="AB367" s="74">
        <f>+Tabla4[[#This Row],[LineaBase-FD]]/350</f>
        <v>1.444</v>
      </c>
    </row>
    <row r="368" spans="1:28" x14ac:dyDescent="0.3">
      <c r="A368" s="45">
        <v>4459</v>
      </c>
      <c r="B368" s="48">
        <v>1340</v>
      </c>
      <c r="C368" s="48">
        <v>525</v>
      </c>
      <c r="D368" s="48">
        <v>2358</v>
      </c>
      <c r="E368" s="48">
        <v>235</v>
      </c>
      <c r="F368" s="80">
        <v>1.49</v>
      </c>
      <c r="G368" s="80">
        <v>1.4350000000000001</v>
      </c>
      <c r="H368" s="79">
        <v>1.466</v>
      </c>
      <c r="I368" s="79">
        <v>1.3779999999999999</v>
      </c>
      <c r="J368" s="52">
        <v>620</v>
      </c>
      <c r="K368" s="55">
        <v>0.24930555555555556</v>
      </c>
      <c r="L368" s="58">
        <v>46026</v>
      </c>
      <c r="M368" s="60">
        <v>0.99</v>
      </c>
      <c r="N368" s="68">
        <v>1.2769999999999999</v>
      </c>
      <c r="O368" s="22">
        <f>+MAX(Tabla4[[#This Row],[6KWA]:[9KWA]])</f>
        <v>1.49</v>
      </c>
      <c r="P368" s="111">
        <f t="shared" si="54"/>
        <v>4</v>
      </c>
      <c r="Q368" s="3">
        <f t="shared" si="55"/>
        <v>1</v>
      </c>
      <c r="R368" s="3">
        <f t="shared" si="48"/>
        <v>2</v>
      </c>
      <c r="S368" s="3" t="str">
        <f t="shared" si="49"/>
        <v>enero</v>
      </c>
      <c r="T368" s="21">
        <f t="shared" si="56"/>
        <v>521.5</v>
      </c>
      <c r="U368" s="21">
        <f t="shared" si="57"/>
        <v>502.25</v>
      </c>
      <c r="V368" s="21">
        <f t="shared" si="58"/>
        <v>513.1</v>
      </c>
      <c r="W368" s="21">
        <f>+Tabla4[[#This Row],[9KWA]]*350</f>
        <v>482.29999999999995</v>
      </c>
      <c r="X368" s="21">
        <f>350*Tabla4[[#This Row],[Max Factor Medido]]</f>
        <v>521.5</v>
      </c>
      <c r="Y368" s="39">
        <v>0.94</v>
      </c>
      <c r="Z368" s="3">
        <f t="shared" si="59"/>
        <v>2026</v>
      </c>
      <c r="AA368" s="74">
        <f>+MEDIAN(Tabla4[[#This Row],[kwreal 6]:[kwreal 9]])</f>
        <v>507.67500000000001</v>
      </c>
      <c r="AB368" s="74">
        <f>+Tabla4[[#This Row],[LineaBase-FD]]/350</f>
        <v>1.4505000000000001</v>
      </c>
    </row>
    <row r="369" spans="1:28" x14ac:dyDescent="0.3">
      <c r="A369" s="45">
        <v>4488</v>
      </c>
      <c r="B369" s="48">
        <v>1340</v>
      </c>
      <c r="C369" s="48">
        <v>525</v>
      </c>
      <c r="D369" s="48">
        <v>2382</v>
      </c>
      <c r="E369" s="48">
        <v>240</v>
      </c>
      <c r="F369" s="79">
        <v>1.49</v>
      </c>
      <c r="G369" s="79">
        <v>1.4350000000000001</v>
      </c>
      <c r="H369" s="79">
        <v>1.466</v>
      </c>
      <c r="I369" s="79">
        <v>1.3779999999999999</v>
      </c>
      <c r="J369" s="52">
        <v>624</v>
      </c>
      <c r="K369" s="55">
        <v>0.25</v>
      </c>
      <c r="L369" s="58">
        <v>46027</v>
      </c>
      <c r="M369" s="60">
        <v>0.99</v>
      </c>
      <c r="N369" s="68">
        <v>9.7299999999999998E-2</v>
      </c>
      <c r="O369" s="22">
        <f>+MAX(Tabla4[[#This Row],[6KWA]:[9KWA]])</f>
        <v>1.49</v>
      </c>
      <c r="P369" s="111">
        <f t="shared" si="54"/>
        <v>5</v>
      </c>
      <c r="Q369" s="3">
        <f t="shared" si="55"/>
        <v>1</v>
      </c>
      <c r="R369" s="3">
        <f t="shared" si="48"/>
        <v>2</v>
      </c>
      <c r="S369" s="3" t="str">
        <f t="shared" si="49"/>
        <v>enero</v>
      </c>
      <c r="T369" s="21">
        <f t="shared" si="56"/>
        <v>521.5</v>
      </c>
      <c r="U369" s="21">
        <f t="shared" si="57"/>
        <v>502.25</v>
      </c>
      <c r="V369" s="21">
        <f t="shared" si="58"/>
        <v>513.1</v>
      </c>
      <c r="W369" s="21">
        <f>+Tabla4[[#This Row],[9KWA]]*350</f>
        <v>482.29999999999995</v>
      </c>
      <c r="X369" s="21">
        <f>350*Tabla4[[#This Row],[Max Factor Medido]]</f>
        <v>521.5</v>
      </c>
      <c r="Y369" s="39">
        <v>0.94</v>
      </c>
      <c r="Z369" s="3">
        <f t="shared" si="59"/>
        <v>2026</v>
      </c>
      <c r="AA369" s="74">
        <f>+MEDIAN(Tabla4[[#This Row],[kwreal 6]:[kwreal 9]])</f>
        <v>507.67500000000001</v>
      </c>
      <c r="AB369" s="74">
        <f>+Tabla4[[#This Row],[LineaBase-FD]]/350</f>
        <v>1.4505000000000001</v>
      </c>
    </row>
    <row r="370" spans="1:28" x14ac:dyDescent="0.3">
      <c r="A370" s="45">
        <v>4518</v>
      </c>
      <c r="B370" s="48">
        <v>1353</v>
      </c>
      <c r="C370" s="48">
        <v>530</v>
      </c>
      <c r="D370" s="48">
        <v>2394</v>
      </c>
      <c r="E370" s="48">
        <v>240</v>
      </c>
      <c r="F370" s="79">
        <v>1.49</v>
      </c>
      <c r="G370" s="79">
        <v>1.4350000000000001</v>
      </c>
      <c r="H370" s="79">
        <v>1.466</v>
      </c>
      <c r="I370" s="79">
        <v>1.3779999999999999</v>
      </c>
      <c r="J370" s="52">
        <v>628</v>
      </c>
      <c r="K370" s="55">
        <v>0.25069444444444444</v>
      </c>
      <c r="L370" s="58">
        <v>46028</v>
      </c>
      <c r="M370" s="60">
        <v>0.99</v>
      </c>
      <c r="N370" s="68">
        <v>1.236</v>
      </c>
      <c r="O370" s="22">
        <f>+MAX(Tabla4[[#This Row],[6KWA]:[9KWA]])</f>
        <v>1.49</v>
      </c>
      <c r="P370" s="111">
        <f t="shared" si="54"/>
        <v>6</v>
      </c>
      <c r="Q370" s="3">
        <f t="shared" si="55"/>
        <v>1</v>
      </c>
      <c r="R370" s="3">
        <f t="shared" si="48"/>
        <v>2</v>
      </c>
      <c r="S370" s="3" t="str">
        <f t="shared" si="49"/>
        <v>enero</v>
      </c>
      <c r="T370" s="21">
        <f t="shared" si="56"/>
        <v>521.5</v>
      </c>
      <c r="U370" s="21">
        <f t="shared" si="57"/>
        <v>502.25</v>
      </c>
      <c r="V370" s="21">
        <f t="shared" si="58"/>
        <v>513.1</v>
      </c>
      <c r="W370" s="21">
        <f>+Tabla4[[#This Row],[9KWA]]*350</f>
        <v>482.29999999999995</v>
      </c>
      <c r="X370" s="21">
        <f>350*Tabla4[[#This Row],[Max Factor Medido]]</f>
        <v>521.5</v>
      </c>
      <c r="Y370" s="39">
        <v>0.94</v>
      </c>
      <c r="Z370" s="3">
        <f t="shared" si="59"/>
        <v>2026</v>
      </c>
      <c r="AA370" s="74">
        <f>+MEDIAN(Tabla4[[#This Row],[kwreal 6]:[kwreal 9]])</f>
        <v>507.67500000000001</v>
      </c>
      <c r="AB370" s="74">
        <f>+Tabla4[[#This Row],[LineaBase-FD]]/350</f>
        <v>1.4505000000000001</v>
      </c>
    </row>
    <row r="371" spans="1:28" x14ac:dyDescent="0.3">
      <c r="A371" s="45">
        <v>4548</v>
      </c>
      <c r="B371" s="48">
        <v>1366</v>
      </c>
      <c r="C371" s="48">
        <v>535</v>
      </c>
      <c r="D371" s="48">
        <v>2406</v>
      </c>
      <c r="E371" s="48">
        <v>240</v>
      </c>
      <c r="F371" s="79">
        <v>1.49</v>
      </c>
      <c r="G371" s="79">
        <v>1.4350000000000001</v>
      </c>
      <c r="H371" s="79">
        <v>1.466</v>
      </c>
      <c r="I371" s="79">
        <v>1.3779999999999999</v>
      </c>
      <c r="J371" s="52">
        <v>631</v>
      </c>
      <c r="K371" s="55">
        <v>0.25</v>
      </c>
      <c r="L371" s="58">
        <v>46029</v>
      </c>
      <c r="M371" s="60">
        <v>0.98</v>
      </c>
      <c r="N371" s="68">
        <v>1.2150000000000001</v>
      </c>
      <c r="O371" s="22">
        <f>+MAX(Tabla4[[#This Row],[6KWA]:[9KWA]])</f>
        <v>1.49</v>
      </c>
      <c r="P371" s="111">
        <f t="shared" si="54"/>
        <v>7</v>
      </c>
      <c r="Q371" s="3">
        <f t="shared" si="55"/>
        <v>1</v>
      </c>
      <c r="R371" s="3">
        <f t="shared" si="48"/>
        <v>2</v>
      </c>
      <c r="S371" s="3" t="str">
        <f t="shared" si="49"/>
        <v>enero</v>
      </c>
      <c r="T371" s="21">
        <f t="shared" si="56"/>
        <v>521.5</v>
      </c>
      <c r="U371" s="21">
        <f t="shared" si="57"/>
        <v>502.25</v>
      </c>
      <c r="V371" s="21">
        <f t="shared" si="58"/>
        <v>513.1</v>
      </c>
      <c r="W371" s="21">
        <f>+Tabla4[[#This Row],[9KWA]]*350</f>
        <v>482.29999999999995</v>
      </c>
      <c r="X371" s="21">
        <f>350*Tabla4[[#This Row],[Max Factor Medido]]</f>
        <v>521.5</v>
      </c>
      <c r="Y371" s="39">
        <v>0.94</v>
      </c>
      <c r="Z371" s="3">
        <f t="shared" si="59"/>
        <v>2026</v>
      </c>
      <c r="AA371" s="74">
        <f>+MEDIAN(Tabla4[[#This Row],[kwreal 6]:[kwreal 9]])</f>
        <v>507.67500000000001</v>
      </c>
      <c r="AB371" s="74">
        <f>+Tabla4[[#This Row],[LineaBase-FD]]/350</f>
        <v>1.4505000000000001</v>
      </c>
    </row>
    <row r="372" spans="1:28" x14ac:dyDescent="0.3">
      <c r="A372" s="45">
        <v>4579</v>
      </c>
      <c r="B372" s="48">
        <v>1379</v>
      </c>
      <c r="C372" s="48">
        <v>540</v>
      </c>
      <c r="D372" s="48">
        <v>2418</v>
      </c>
      <c r="E372" s="48">
        <v>240</v>
      </c>
      <c r="F372" s="79">
        <v>1.5069999999999999</v>
      </c>
      <c r="G372" s="79">
        <v>1.4350000000000001</v>
      </c>
      <c r="H372" s="79">
        <v>1.466</v>
      </c>
      <c r="I372" s="79">
        <v>1.3779999999999999</v>
      </c>
      <c r="J372" s="52">
        <v>634</v>
      </c>
      <c r="K372" s="55">
        <v>0.25208333333333333</v>
      </c>
      <c r="L372" s="57">
        <v>46030</v>
      </c>
      <c r="M372" s="60">
        <v>0.99</v>
      </c>
      <c r="N372" s="68">
        <v>1.155</v>
      </c>
      <c r="O372" s="22">
        <f>+MAX(Tabla4[[#This Row],[6KWA]:[9KWA]])</f>
        <v>1.5069999999999999</v>
      </c>
      <c r="P372" s="111">
        <f t="shared" si="54"/>
        <v>8</v>
      </c>
      <c r="Q372" s="3">
        <f t="shared" si="55"/>
        <v>1</v>
      </c>
      <c r="R372" s="3">
        <f t="shared" si="48"/>
        <v>2</v>
      </c>
      <c r="S372" s="3" t="str">
        <f t="shared" si="49"/>
        <v>enero</v>
      </c>
      <c r="T372" s="21">
        <f t="shared" si="56"/>
        <v>527.44999999999993</v>
      </c>
      <c r="U372" s="21">
        <f t="shared" si="57"/>
        <v>502.25</v>
      </c>
      <c r="V372" s="21">
        <f t="shared" si="58"/>
        <v>513.1</v>
      </c>
      <c r="W372" s="21">
        <f>+Tabla4[[#This Row],[9KWA]]*350</f>
        <v>482.29999999999995</v>
      </c>
      <c r="X372" s="21">
        <f>350*Tabla4[[#This Row],[Max Factor Medido]]</f>
        <v>527.44999999999993</v>
      </c>
      <c r="Y372" s="39">
        <v>0.94</v>
      </c>
      <c r="Z372" s="3">
        <f t="shared" si="59"/>
        <v>2026</v>
      </c>
      <c r="AA372" s="74">
        <f>+MEDIAN(Tabla4[[#This Row],[kwreal 6]:[kwreal 9]])</f>
        <v>507.67500000000001</v>
      </c>
      <c r="AB372" s="74">
        <f>+Tabla4[[#This Row],[LineaBase-FD]]/350</f>
        <v>1.4505000000000001</v>
      </c>
    </row>
    <row r="373" spans="1:28" x14ac:dyDescent="0.3">
      <c r="A373" s="45">
        <v>4609</v>
      </c>
      <c r="B373" s="48">
        <v>1392</v>
      </c>
      <c r="C373" s="48">
        <v>545</v>
      </c>
      <c r="D373" s="48">
        <v>2430</v>
      </c>
      <c r="E373" s="48">
        <v>240</v>
      </c>
      <c r="F373" s="79">
        <v>1.51</v>
      </c>
      <c r="G373" s="79">
        <v>1.4350000000000001</v>
      </c>
      <c r="H373" s="79">
        <v>1.466</v>
      </c>
      <c r="I373" s="79">
        <v>1.3779999999999999</v>
      </c>
      <c r="J373" s="52">
        <v>634</v>
      </c>
      <c r="K373" s="55">
        <v>0.25347222222222221</v>
      </c>
      <c r="L373" s="57">
        <v>46031</v>
      </c>
      <c r="M373" s="60">
        <v>0.99</v>
      </c>
      <c r="N373" s="68">
        <v>0.11700000000000001</v>
      </c>
      <c r="O373" s="22">
        <f>+MAX(Tabla4[[#This Row],[6KWA]:[9KWA]])</f>
        <v>1.51</v>
      </c>
      <c r="P373" s="111">
        <f t="shared" si="54"/>
        <v>9</v>
      </c>
      <c r="Q373" s="3">
        <f t="shared" si="55"/>
        <v>1</v>
      </c>
      <c r="R373" s="3">
        <f t="shared" si="48"/>
        <v>2</v>
      </c>
      <c r="S373" s="3" t="str">
        <f t="shared" si="49"/>
        <v>enero</v>
      </c>
      <c r="T373" s="21">
        <f t="shared" si="56"/>
        <v>528.5</v>
      </c>
      <c r="U373" s="21">
        <f t="shared" si="57"/>
        <v>502.25</v>
      </c>
      <c r="V373" s="21">
        <f t="shared" si="58"/>
        <v>513.1</v>
      </c>
      <c r="W373" s="21">
        <f>+Tabla4[[#This Row],[9KWA]]*350</f>
        <v>482.29999999999995</v>
      </c>
      <c r="X373" s="21">
        <f>350*Tabla4[[#This Row],[Max Factor Medido]]</f>
        <v>528.5</v>
      </c>
      <c r="Y373" s="39">
        <v>0.94</v>
      </c>
      <c r="Z373" s="3">
        <f t="shared" si="59"/>
        <v>2026</v>
      </c>
      <c r="AA373" s="74">
        <f>+MEDIAN(Tabla4[[#This Row],[kwreal 6]:[kwreal 9]])</f>
        <v>507.67500000000001</v>
      </c>
      <c r="AB373" s="74">
        <f>+Tabla4[[#This Row],[LineaBase-FD]]/350</f>
        <v>1.4505000000000001</v>
      </c>
    </row>
    <row r="374" spans="1:28" x14ac:dyDescent="0.3">
      <c r="A374" s="46">
        <v>4638</v>
      </c>
      <c r="B374" s="49">
        <v>1405</v>
      </c>
      <c r="C374" s="49">
        <v>550</v>
      </c>
      <c r="D374" s="49">
        <v>2442</v>
      </c>
      <c r="E374" s="49">
        <v>240</v>
      </c>
      <c r="F374" s="80">
        <v>1.579</v>
      </c>
      <c r="G374" s="80">
        <v>1.5149999999999999</v>
      </c>
      <c r="H374" s="79">
        <v>1.466</v>
      </c>
      <c r="I374" s="80">
        <v>1.3779999999999999</v>
      </c>
      <c r="J374" s="53">
        <v>641</v>
      </c>
      <c r="K374" s="55">
        <v>0.25</v>
      </c>
      <c r="L374" s="58">
        <v>46032</v>
      </c>
      <c r="M374" s="61">
        <v>0.98</v>
      </c>
      <c r="N374" s="68">
        <v>0.108</v>
      </c>
      <c r="O374" s="22">
        <f>+MAX(Tabla4[[#This Row],[6KWA]:[9KWA]])</f>
        <v>1.579</v>
      </c>
      <c r="P374" s="111">
        <f t="shared" si="54"/>
        <v>10</v>
      </c>
      <c r="Q374" s="3">
        <f t="shared" si="55"/>
        <v>1</v>
      </c>
      <c r="R374" s="3">
        <f t="shared" si="48"/>
        <v>2</v>
      </c>
      <c r="S374" s="3" t="str">
        <f t="shared" si="49"/>
        <v>enero</v>
      </c>
      <c r="T374" s="21">
        <f t="shared" si="56"/>
        <v>552.65</v>
      </c>
      <c r="U374" s="21">
        <f t="shared" si="57"/>
        <v>530.25</v>
      </c>
      <c r="V374" s="21">
        <f t="shared" si="58"/>
        <v>513.1</v>
      </c>
      <c r="W374" s="21">
        <f>+Tabla4[[#This Row],[9KWA]]*350</f>
        <v>482.29999999999995</v>
      </c>
      <c r="X374" s="21">
        <f>350*Tabla4[[#This Row],[Max Factor Medido]]</f>
        <v>552.65</v>
      </c>
      <c r="Y374" s="39">
        <v>0.94</v>
      </c>
      <c r="Z374" s="3">
        <f t="shared" si="59"/>
        <v>2026</v>
      </c>
      <c r="AA374" s="74">
        <f>+MEDIAN(Tabla4[[#This Row],[kwreal 6]:[kwreal 9]])</f>
        <v>521.67499999999995</v>
      </c>
      <c r="AB374" s="74">
        <f>+Tabla4[[#This Row],[LineaBase-FD]]/350</f>
        <v>1.4904999999999999</v>
      </c>
    </row>
    <row r="375" spans="1:28" x14ac:dyDescent="0.3">
      <c r="A375" s="46">
        <v>4668</v>
      </c>
      <c r="B375" s="49">
        <v>1405</v>
      </c>
      <c r="C375" s="49">
        <v>550</v>
      </c>
      <c r="D375" s="49">
        <v>2467</v>
      </c>
      <c r="E375" s="49">
        <v>245</v>
      </c>
      <c r="F375" s="80">
        <v>1.579</v>
      </c>
      <c r="G375" s="80">
        <v>1.5149999999999999</v>
      </c>
      <c r="H375" s="80">
        <v>1.5029999999999999</v>
      </c>
      <c r="I375" s="80">
        <v>1.3779999999999999</v>
      </c>
      <c r="J375" s="53">
        <v>645</v>
      </c>
      <c r="K375" s="55">
        <v>0.25138888888888888</v>
      </c>
      <c r="L375" s="58">
        <v>46033</v>
      </c>
      <c r="M375" s="61">
        <v>0.99</v>
      </c>
      <c r="N375" s="68">
        <v>0.11799999999999999</v>
      </c>
      <c r="O375" s="22">
        <f>+MAX(Tabla4[[#This Row],[6KWA]:[9KWA]])</f>
        <v>1.579</v>
      </c>
      <c r="P375" s="111">
        <f t="shared" si="54"/>
        <v>11</v>
      </c>
      <c r="Q375" s="3">
        <f t="shared" si="55"/>
        <v>1</v>
      </c>
      <c r="R375" s="3">
        <f t="shared" si="48"/>
        <v>3</v>
      </c>
      <c r="S375" s="3" t="str">
        <f t="shared" si="49"/>
        <v>enero</v>
      </c>
      <c r="T375" s="21">
        <f t="shared" si="56"/>
        <v>552.65</v>
      </c>
      <c r="U375" s="21">
        <f t="shared" si="57"/>
        <v>530.25</v>
      </c>
      <c r="V375" s="21">
        <f t="shared" si="58"/>
        <v>526.04999999999995</v>
      </c>
      <c r="W375" s="21">
        <f>+Tabla4[[#This Row],[9KWA]]*350</f>
        <v>482.29999999999995</v>
      </c>
      <c r="X375" s="21">
        <f>350*Tabla4[[#This Row],[Max Factor Medido]]</f>
        <v>552.65</v>
      </c>
      <c r="Y375" s="39">
        <v>0.94</v>
      </c>
      <c r="Z375" s="3">
        <f t="shared" si="59"/>
        <v>2026</v>
      </c>
      <c r="AA375" s="74">
        <f>+MEDIAN(Tabla4[[#This Row],[kwreal 6]:[kwreal 9]])</f>
        <v>528.15</v>
      </c>
      <c r="AB375" s="74">
        <f>+Tabla4[[#This Row],[LineaBase-FD]]/350</f>
        <v>1.5089999999999999</v>
      </c>
    </row>
    <row r="376" spans="1:28" x14ac:dyDescent="0.3">
      <c r="A376" s="45">
        <v>4697</v>
      </c>
      <c r="B376" s="48">
        <v>1405</v>
      </c>
      <c r="C376" s="48">
        <v>550</v>
      </c>
      <c r="D376" s="48">
        <v>2490</v>
      </c>
      <c r="E376" s="48">
        <v>250</v>
      </c>
      <c r="F376" s="79">
        <v>1.579</v>
      </c>
      <c r="G376" s="79">
        <v>1.5149999999999999</v>
      </c>
      <c r="H376" s="79">
        <v>1.5029999999999999</v>
      </c>
      <c r="I376" s="79">
        <v>1.399</v>
      </c>
      <c r="J376" s="52">
        <v>648</v>
      </c>
      <c r="K376" s="55">
        <v>0.24930555555555556</v>
      </c>
      <c r="L376" s="57">
        <v>46034</v>
      </c>
      <c r="M376" s="60">
        <v>0.99</v>
      </c>
      <c r="N376" s="68">
        <v>0.122</v>
      </c>
      <c r="O376" s="22">
        <f>+MAX(Tabla4[[#This Row],[6KWA]:[9KWA]])</f>
        <v>1.579</v>
      </c>
      <c r="P376" s="111">
        <f t="shared" si="54"/>
        <v>12</v>
      </c>
      <c r="Q376" s="3">
        <f t="shared" si="55"/>
        <v>1</v>
      </c>
      <c r="R376" s="3">
        <f t="shared" si="48"/>
        <v>3</v>
      </c>
      <c r="S376" s="3" t="str">
        <f t="shared" si="49"/>
        <v>enero</v>
      </c>
      <c r="T376" s="21">
        <f t="shared" si="56"/>
        <v>552.65</v>
      </c>
      <c r="U376" s="21">
        <f t="shared" si="57"/>
        <v>530.25</v>
      </c>
      <c r="V376" s="21">
        <f t="shared" si="58"/>
        <v>526.04999999999995</v>
      </c>
      <c r="W376" s="21">
        <f>+Tabla4[[#This Row],[9KWA]]*350</f>
        <v>489.65000000000003</v>
      </c>
      <c r="X376" s="21">
        <f>350*Tabla4[[#This Row],[Max Factor Medido]]</f>
        <v>552.65</v>
      </c>
      <c r="Y376" s="39">
        <v>0.94</v>
      </c>
      <c r="Z376" s="3">
        <f t="shared" si="59"/>
        <v>2026</v>
      </c>
      <c r="AA376" s="74">
        <f>+MEDIAN(Tabla4[[#This Row],[kwreal 6]:[kwreal 9]])</f>
        <v>528.15</v>
      </c>
      <c r="AB376" s="74">
        <f>+Tabla4[[#This Row],[LineaBase-FD]]/350</f>
        <v>1.5089999999999999</v>
      </c>
    </row>
    <row r="377" spans="1:28" x14ac:dyDescent="0.3">
      <c r="A377" s="45">
        <v>4726</v>
      </c>
      <c r="B377" s="48">
        <v>1417</v>
      </c>
      <c r="C377" s="48">
        <v>555</v>
      </c>
      <c r="D377" s="51">
        <v>2502</v>
      </c>
      <c r="E377" s="48">
        <v>250</v>
      </c>
      <c r="F377" s="79">
        <v>1.579</v>
      </c>
      <c r="G377" s="79">
        <v>1.5149999999999999</v>
      </c>
      <c r="H377" s="79">
        <v>1.5029999999999999</v>
      </c>
      <c r="I377" s="79">
        <v>1.399</v>
      </c>
      <c r="J377" s="52">
        <v>651</v>
      </c>
      <c r="K377" s="55">
        <v>0.27361111111111114</v>
      </c>
      <c r="L377" s="57">
        <v>46035</v>
      </c>
      <c r="M377" s="60">
        <v>0.99</v>
      </c>
      <c r="N377" s="68">
        <v>0.1154</v>
      </c>
      <c r="O377" s="22">
        <f>+MAX(Tabla4[[#This Row],[6KWA]:[9KWA]])</f>
        <v>1.579</v>
      </c>
      <c r="P377" s="111">
        <f t="shared" si="54"/>
        <v>13</v>
      </c>
      <c r="Q377" s="3">
        <f t="shared" si="55"/>
        <v>1</v>
      </c>
      <c r="R377" s="3">
        <f t="shared" si="48"/>
        <v>3</v>
      </c>
      <c r="S377" s="3" t="str">
        <f t="shared" si="49"/>
        <v>enero</v>
      </c>
      <c r="T377" s="21">
        <f t="shared" si="56"/>
        <v>552.65</v>
      </c>
      <c r="U377" s="21">
        <f t="shared" si="57"/>
        <v>530.25</v>
      </c>
      <c r="V377" s="21">
        <f t="shared" si="58"/>
        <v>526.04999999999995</v>
      </c>
      <c r="W377" s="21">
        <f>+Tabla4[[#This Row],[9KWA]]*350</f>
        <v>489.65000000000003</v>
      </c>
      <c r="X377" s="21">
        <f>350*Tabla4[[#This Row],[Max Factor Medido]]</f>
        <v>552.65</v>
      </c>
      <c r="Y377" s="39">
        <v>0.94</v>
      </c>
      <c r="Z377" s="3">
        <f t="shared" si="59"/>
        <v>2026</v>
      </c>
      <c r="AA377" s="74">
        <f>+MEDIAN(Tabla4[[#This Row],[kwreal 6]:[kwreal 9]])</f>
        <v>528.15</v>
      </c>
      <c r="AB377" s="74">
        <f>+Tabla4[[#This Row],[LineaBase-FD]]/350</f>
        <v>1.5089999999999999</v>
      </c>
    </row>
    <row r="378" spans="1:28" x14ac:dyDescent="0.3">
      <c r="A378" s="45">
        <v>4754</v>
      </c>
      <c r="B378" s="48">
        <v>1429</v>
      </c>
      <c r="C378" s="48">
        <v>560</v>
      </c>
      <c r="D378" s="48">
        <v>2514</v>
      </c>
      <c r="E378" s="48">
        <v>250</v>
      </c>
      <c r="F378" s="79">
        <v>1.579</v>
      </c>
      <c r="G378" s="79">
        <v>1.5149999999999999</v>
      </c>
      <c r="H378" s="79">
        <v>1.5029999999999999</v>
      </c>
      <c r="I378" s="79">
        <v>1.399</v>
      </c>
      <c r="J378" s="52">
        <v>655</v>
      </c>
      <c r="K378" s="55">
        <v>0.25069444444444444</v>
      </c>
      <c r="L378" s="57">
        <v>46036</v>
      </c>
      <c r="M378" s="60">
        <v>0.99</v>
      </c>
      <c r="N378" s="68">
        <v>0.1149</v>
      </c>
      <c r="O378" s="22">
        <f>+MAX(Tabla4[[#This Row],[6KWA]:[9KWA]])</f>
        <v>1.579</v>
      </c>
      <c r="P378" s="111">
        <f t="shared" si="54"/>
        <v>14</v>
      </c>
      <c r="Q378" s="3">
        <f t="shared" si="55"/>
        <v>1</v>
      </c>
      <c r="R378" s="3">
        <f t="shared" si="48"/>
        <v>3</v>
      </c>
      <c r="S378" s="3" t="str">
        <f t="shared" si="49"/>
        <v>enero</v>
      </c>
      <c r="T378" s="21">
        <f t="shared" si="56"/>
        <v>552.65</v>
      </c>
      <c r="U378" s="21">
        <f t="shared" si="57"/>
        <v>530.25</v>
      </c>
      <c r="V378" s="21">
        <f t="shared" si="58"/>
        <v>526.04999999999995</v>
      </c>
      <c r="W378" s="21">
        <f>+Tabla4[[#This Row],[9KWA]]*350</f>
        <v>489.65000000000003</v>
      </c>
      <c r="X378" s="21">
        <f>350*Tabla4[[#This Row],[Max Factor Medido]]</f>
        <v>552.65</v>
      </c>
      <c r="Y378" s="39">
        <v>0.94</v>
      </c>
      <c r="Z378" s="3">
        <f t="shared" si="59"/>
        <v>2026</v>
      </c>
      <c r="AA378" s="74">
        <f>+MEDIAN(Tabla4[[#This Row],[kwreal 6]:[kwreal 9]])</f>
        <v>528.15</v>
      </c>
      <c r="AB378" s="74">
        <f>+Tabla4[[#This Row],[LineaBase-FD]]/350</f>
        <v>1.5089999999999999</v>
      </c>
    </row>
    <row r="379" spans="1:28" x14ac:dyDescent="0.3">
      <c r="A379" s="45">
        <v>4784</v>
      </c>
      <c r="B379" s="48">
        <v>1442</v>
      </c>
      <c r="C379" s="48">
        <v>560</v>
      </c>
      <c r="D379" s="48">
        <v>2525</v>
      </c>
      <c r="E379" s="48">
        <v>250</v>
      </c>
      <c r="F379" s="79">
        <v>1.579</v>
      </c>
      <c r="G379" s="79">
        <v>1.5149999999999999</v>
      </c>
      <c r="H379" s="79">
        <v>1.5029999999999999</v>
      </c>
      <c r="I379" s="79">
        <v>1.399</v>
      </c>
      <c r="J379" s="52">
        <v>659</v>
      </c>
      <c r="K379" s="55">
        <v>0.25069444444444444</v>
      </c>
      <c r="L379" s="57">
        <v>46037</v>
      </c>
      <c r="M379" s="60">
        <v>0.99</v>
      </c>
      <c r="N379" s="68">
        <v>0.12470000000000001</v>
      </c>
      <c r="O379" s="22">
        <f>+MAX(Tabla4[[#This Row],[6KWA]:[9KWA]])</f>
        <v>1.579</v>
      </c>
      <c r="P379" s="111">
        <f t="shared" si="54"/>
        <v>15</v>
      </c>
      <c r="Q379" s="3">
        <f t="shared" si="55"/>
        <v>1</v>
      </c>
      <c r="R379" s="3">
        <f t="shared" si="48"/>
        <v>3</v>
      </c>
      <c r="S379" s="3" t="str">
        <f t="shared" si="49"/>
        <v>enero</v>
      </c>
      <c r="T379" s="21">
        <f t="shared" si="56"/>
        <v>552.65</v>
      </c>
      <c r="U379" s="21">
        <f t="shared" si="57"/>
        <v>530.25</v>
      </c>
      <c r="V379" s="21">
        <f t="shared" si="58"/>
        <v>526.04999999999995</v>
      </c>
      <c r="W379" s="21">
        <f>+Tabla4[[#This Row],[9KWA]]*350</f>
        <v>489.65000000000003</v>
      </c>
      <c r="X379" s="21">
        <f>350*Tabla4[[#This Row],[Max Factor Medido]]</f>
        <v>552.65</v>
      </c>
      <c r="Y379" s="39">
        <v>0.94</v>
      </c>
      <c r="Z379" s="3">
        <f t="shared" si="59"/>
        <v>2026</v>
      </c>
      <c r="AA379" s="74">
        <f>+MEDIAN(Tabla4[[#This Row],[kwreal 6]:[kwreal 9]])</f>
        <v>528.15</v>
      </c>
      <c r="AB379" s="74">
        <f>+Tabla4[[#This Row],[LineaBase-FD]]/350</f>
        <v>1.5089999999999999</v>
      </c>
    </row>
    <row r="380" spans="1:28" x14ac:dyDescent="0.3">
      <c r="A380" s="46">
        <v>4814</v>
      </c>
      <c r="B380" s="49">
        <v>1455</v>
      </c>
      <c r="C380" s="49">
        <v>570</v>
      </c>
      <c r="D380" s="49">
        <v>2538</v>
      </c>
      <c r="E380" s="49">
        <v>250</v>
      </c>
      <c r="F380" s="80">
        <v>1.579</v>
      </c>
      <c r="G380" s="80">
        <v>1.5149999999999999</v>
      </c>
      <c r="H380" s="80">
        <v>1.5029999999999999</v>
      </c>
      <c r="I380" s="80">
        <v>1.399</v>
      </c>
      <c r="J380" s="53">
        <v>602</v>
      </c>
      <c r="K380" s="55">
        <v>0.25624999999999998</v>
      </c>
      <c r="L380" s="58">
        <v>46038</v>
      </c>
      <c r="M380" s="61">
        <v>0.99</v>
      </c>
      <c r="N380" s="68">
        <v>0.12</v>
      </c>
      <c r="O380" s="22">
        <f>+MAX(Tabla4[[#This Row],[6KWA]:[9KWA]])</f>
        <v>1.579</v>
      </c>
      <c r="P380" s="111">
        <f t="shared" si="54"/>
        <v>16</v>
      </c>
      <c r="Q380" s="3">
        <f t="shared" si="55"/>
        <v>1</v>
      </c>
      <c r="R380" s="3">
        <f t="shared" si="48"/>
        <v>3</v>
      </c>
      <c r="S380" s="3" t="str">
        <f t="shared" si="49"/>
        <v>enero</v>
      </c>
      <c r="T380" s="21">
        <f t="shared" si="56"/>
        <v>552.65</v>
      </c>
      <c r="U380" s="21">
        <f t="shared" si="57"/>
        <v>530.25</v>
      </c>
      <c r="V380" s="21">
        <f t="shared" si="58"/>
        <v>526.04999999999995</v>
      </c>
      <c r="W380" s="21">
        <f>+Tabla4[[#This Row],[9KWA]]*350</f>
        <v>489.65000000000003</v>
      </c>
      <c r="X380" s="21">
        <f>350*Tabla4[[#This Row],[Max Factor Medido]]</f>
        <v>552.65</v>
      </c>
      <c r="Y380" s="39">
        <v>0.94</v>
      </c>
      <c r="Z380" s="3">
        <f t="shared" si="59"/>
        <v>2026</v>
      </c>
      <c r="AA380" s="74">
        <f>+MEDIAN(Tabla4[[#This Row],[kwreal 6]:[kwreal 9]])</f>
        <v>528.15</v>
      </c>
      <c r="AB380" s="74">
        <f>+Tabla4[[#This Row],[LineaBase-FD]]/350</f>
        <v>1.5089999999999999</v>
      </c>
    </row>
    <row r="381" spans="1:28" x14ac:dyDescent="0.3">
      <c r="A381" s="46">
        <v>4843</v>
      </c>
      <c r="B381" s="49">
        <v>1467</v>
      </c>
      <c r="C381" s="49">
        <v>576</v>
      </c>
      <c r="D381" s="49">
        <v>2550</v>
      </c>
      <c r="E381" s="49">
        <v>250</v>
      </c>
      <c r="F381" s="80">
        <v>1.579</v>
      </c>
      <c r="G381" s="80">
        <v>1.5980000000000001</v>
      </c>
      <c r="H381" s="80">
        <v>1.5029999999999999</v>
      </c>
      <c r="I381" s="80">
        <v>1.399</v>
      </c>
      <c r="J381" s="53">
        <v>666</v>
      </c>
      <c r="K381" s="55">
        <v>0.25</v>
      </c>
      <c r="L381" s="58">
        <v>46039</v>
      </c>
      <c r="M381" s="61">
        <v>0.99</v>
      </c>
      <c r="N381" s="69">
        <v>0.1085</v>
      </c>
      <c r="O381" s="22">
        <f>+MAX(Tabla4[[#This Row],[6KWA]:[9KWA]])</f>
        <v>1.5980000000000001</v>
      </c>
      <c r="P381" s="111">
        <f t="shared" si="54"/>
        <v>17</v>
      </c>
      <c r="Q381" s="3">
        <f t="shared" si="55"/>
        <v>1</v>
      </c>
      <c r="R381" s="3">
        <f t="shared" si="48"/>
        <v>3</v>
      </c>
      <c r="S381" s="3" t="str">
        <f t="shared" si="49"/>
        <v>enero</v>
      </c>
      <c r="T381" s="21">
        <f t="shared" si="56"/>
        <v>552.65</v>
      </c>
      <c r="U381" s="21">
        <f t="shared" si="57"/>
        <v>559.30000000000007</v>
      </c>
      <c r="V381" s="21">
        <f t="shared" si="58"/>
        <v>526.04999999999995</v>
      </c>
      <c r="W381" s="21">
        <f>+Tabla4[[#This Row],[9KWA]]*350</f>
        <v>489.65000000000003</v>
      </c>
      <c r="X381" s="21">
        <f>350*Tabla4[[#This Row],[Max Factor Medido]]</f>
        <v>559.30000000000007</v>
      </c>
      <c r="Y381" s="39">
        <v>0.94</v>
      </c>
      <c r="Z381" s="3">
        <f t="shared" si="59"/>
        <v>2026</v>
      </c>
      <c r="AA381" s="74">
        <f>+MEDIAN(Tabla4[[#This Row],[kwreal 6]:[kwreal 9]])</f>
        <v>539.34999999999991</v>
      </c>
      <c r="AB381" s="74">
        <f>+Tabla4[[#This Row],[LineaBase-FD]]/350</f>
        <v>1.5409999999999997</v>
      </c>
    </row>
    <row r="382" spans="1:28" x14ac:dyDescent="0.3">
      <c r="A382" s="45">
        <v>4874</v>
      </c>
      <c r="B382" s="48">
        <v>1467</v>
      </c>
      <c r="C382" s="48">
        <v>576</v>
      </c>
      <c r="D382" s="48">
        <v>2575</v>
      </c>
      <c r="E382" s="48">
        <v>255</v>
      </c>
      <c r="F382" s="80">
        <v>1.579</v>
      </c>
      <c r="G382" s="80">
        <v>1.5980000000000001</v>
      </c>
      <c r="H382" s="80">
        <v>1.5029999999999999</v>
      </c>
      <c r="I382" s="80">
        <v>1.464</v>
      </c>
      <c r="J382" s="52">
        <v>671</v>
      </c>
      <c r="K382" s="55">
        <v>0.24930555555555556</v>
      </c>
      <c r="L382" s="57">
        <v>46040</v>
      </c>
      <c r="M382" s="60">
        <v>1</v>
      </c>
      <c r="N382" s="68">
        <v>0.1132</v>
      </c>
      <c r="O382" s="22">
        <f>+MAX(Tabla4[[#This Row],[6KWA]:[9KWA]])</f>
        <v>1.5980000000000001</v>
      </c>
      <c r="P382" s="111">
        <f t="shared" si="54"/>
        <v>18</v>
      </c>
      <c r="Q382" s="3">
        <f t="shared" si="55"/>
        <v>1</v>
      </c>
      <c r="R382" s="3">
        <f t="shared" si="48"/>
        <v>4</v>
      </c>
      <c r="S382" s="3" t="str">
        <f t="shared" si="49"/>
        <v>enero</v>
      </c>
      <c r="T382" s="21">
        <f t="shared" si="56"/>
        <v>552.65</v>
      </c>
      <c r="U382" s="21">
        <f t="shared" si="57"/>
        <v>559.30000000000007</v>
      </c>
      <c r="V382" s="21">
        <f t="shared" si="58"/>
        <v>526.04999999999995</v>
      </c>
      <c r="W382" s="21">
        <f>+Tabla4[[#This Row],[9KWA]]*350</f>
        <v>512.4</v>
      </c>
      <c r="X382" s="21">
        <f>350*Tabla4[[#This Row],[Max Factor Medido]]</f>
        <v>559.30000000000007</v>
      </c>
      <c r="Y382" s="39">
        <v>0.94</v>
      </c>
      <c r="Z382" s="3">
        <f t="shared" si="59"/>
        <v>2026</v>
      </c>
      <c r="AA382" s="74">
        <f>+MEDIAN(Tabla4[[#This Row],[kwreal 6]:[kwreal 9]])</f>
        <v>539.34999999999991</v>
      </c>
      <c r="AB382" s="74">
        <f>+Tabla4[[#This Row],[LineaBase-FD]]/350</f>
        <v>1.5409999999999997</v>
      </c>
    </row>
    <row r="383" spans="1:28" x14ac:dyDescent="0.3">
      <c r="A383" s="45">
        <v>4904</v>
      </c>
      <c r="B383" s="48">
        <v>1467</v>
      </c>
      <c r="C383" s="48">
        <v>576</v>
      </c>
      <c r="D383" s="48">
        <v>2600</v>
      </c>
      <c r="E383" s="48">
        <v>260</v>
      </c>
      <c r="F383" s="80">
        <v>1.579</v>
      </c>
      <c r="G383" s="80">
        <v>1.5980000000000001</v>
      </c>
      <c r="H383" s="80">
        <v>1.5029999999999999</v>
      </c>
      <c r="I383" s="79">
        <v>1.4710000000000001</v>
      </c>
      <c r="J383" s="52">
        <v>674</v>
      </c>
      <c r="K383" s="55">
        <v>0.24791666666666667</v>
      </c>
      <c r="L383" s="57">
        <v>46041</v>
      </c>
      <c r="M383" s="60">
        <v>0.98</v>
      </c>
      <c r="N383" s="68">
        <v>0.1384</v>
      </c>
      <c r="O383" s="22">
        <f>+MAX(Tabla4[[#This Row],[6KWA]:[9KWA]])</f>
        <v>1.5980000000000001</v>
      </c>
      <c r="P383" s="111">
        <f t="shared" si="54"/>
        <v>19</v>
      </c>
      <c r="Q383" s="3">
        <f t="shared" si="55"/>
        <v>1</v>
      </c>
      <c r="R383" s="3">
        <f t="shared" si="48"/>
        <v>4</v>
      </c>
      <c r="S383" s="3" t="str">
        <f t="shared" si="49"/>
        <v>enero</v>
      </c>
      <c r="T383" s="21">
        <f t="shared" si="56"/>
        <v>552.65</v>
      </c>
      <c r="U383" s="21">
        <f t="shared" si="57"/>
        <v>559.30000000000007</v>
      </c>
      <c r="V383" s="21">
        <f t="shared" si="58"/>
        <v>526.04999999999995</v>
      </c>
      <c r="W383" s="21">
        <f>+Tabla4[[#This Row],[9KWA]]*350</f>
        <v>514.85</v>
      </c>
      <c r="X383" s="21">
        <f>350*Tabla4[[#This Row],[Max Factor Medido]]</f>
        <v>559.30000000000007</v>
      </c>
      <c r="Y383" s="39">
        <v>0.94</v>
      </c>
      <c r="Z383" s="3">
        <f t="shared" si="59"/>
        <v>2026</v>
      </c>
      <c r="AA383" s="74">
        <f>+MEDIAN(Tabla4[[#This Row],[kwreal 6]:[kwreal 9]])</f>
        <v>539.34999999999991</v>
      </c>
      <c r="AB383" s="74">
        <f>+Tabla4[[#This Row],[LineaBase-FD]]/350</f>
        <v>1.5409999999999997</v>
      </c>
    </row>
    <row r="384" spans="1:28" x14ac:dyDescent="0.3">
      <c r="A384" s="45">
        <v>4934</v>
      </c>
      <c r="B384" s="48">
        <v>1479</v>
      </c>
      <c r="C384" s="48">
        <v>581</v>
      </c>
      <c r="D384" s="48">
        <v>2612</v>
      </c>
      <c r="E384" s="48">
        <v>260</v>
      </c>
      <c r="F384" s="79">
        <v>1.579</v>
      </c>
      <c r="G384" s="79">
        <v>1.5980000000000001</v>
      </c>
      <c r="H384" s="79">
        <v>1.5029999999999999</v>
      </c>
      <c r="I384" s="79">
        <v>1.4710000000000001</v>
      </c>
      <c r="J384" s="52">
        <v>678</v>
      </c>
      <c r="K384" s="55">
        <v>0.25277777777777777</v>
      </c>
      <c r="L384" s="57">
        <v>46042</v>
      </c>
      <c r="M384" s="60">
        <v>0.98</v>
      </c>
      <c r="N384" s="68">
        <v>0.13059999999999999</v>
      </c>
      <c r="O384" s="22">
        <f>+MAX(Tabla4[[#This Row],[6KWA]:[9KWA]])</f>
        <v>1.5980000000000001</v>
      </c>
      <c r="P384" s="111">
        <f t="shared" si="54"/>
        <v>20</v>
      </c>
      <c r="Q384" s="3">
        <f t="shared" si="55"/>
        <v>1</v>
      </c>
      <c r="R384" s="3">
        <f t="shared" si="48"/>
        <v>4</v>
      </c>
      <c r="S384" s="3" t="str">
        <f t="shared" si="49"/>
        <v>enero</v>
      </c>
      <c r="T384" s="21">
        <f t="shared" si="56"/>
        <v>552.65</v>
      </c>
      <c r="U384" s="21">
        <f t="shared" si="57"/>
        <v>559.30000000000007</v>
      </c>
      <c r="V384" s="21">
        <f t="shared" si="58"/>
        <v>526.04999999999995</v>
      </c>
      <c r="W384" s="21">
        <f>+Tabla4[[#This Row],[9KWA]]*350</f>
        <v>514.85</v>
      </c>
      <c r="X384" s="21">
        <f>350*Tabla4[[#This Row],[Max Factor Medido]]</f>
        <v>559.30000000000007</v>
      </c>
      <c r="Y384" s="39">
        <v>0.94</v>
      </c>
      <c r="Z384" s="3">
        <f t="shared" si="59"/>
        <v>2026</v>
      </c>
      <c r="AA384" s="74">
        <f>+MEDIAN(Tabla4[[#This Row],[kwreal 6]:[kwreal 9]])</f>
        <v>539.34999999999991</v>
      </c>
      <c r="AB384" s="74">
        <f>+Tabla4[[#This Row],[LineaBase-FD]]/350</f>
        <v>1.5409999999999997</v>
      </c>
    </row>
    <row r="385" spans="1:28" x14ac:dyDescent="0.3">
      <c r="A385" s="45">
        <v>4965</v>
      </c>
      <c r="B385" s="48">
        <v>1493</v>
      </c>
      <c r="C385" s="48">
        <v>586</v>
      </c>
      <c r="D385" s="48">
        <v>2624</v>
      </c>
      <c r="E385" s="48">
        <v>260</v>
      </c>
      <c r="F385" s="79">
        <v>1.579</v>
      </c>
      <c r="G385" s="79">
        <v>1.5980000000000001</v>
      </c>
      <c r="H385" s="79">
        <v>1.5029999999999999</v>
      </c>
      <c r="I385" s="79">
        <v>1.4710000000000001</v>
      </c>
      <c r="J385" s="52">
        <v>682</v>
      </c>
      <c r="K385" s="55">
        <v>0.26458333333333334</v>
      </c>
      <c r="L385" s="57">
        <v>46043</v>
      </c>
      <c r="M385" s="60">
        <v>0.99</v>
      </c>
      <c r="N385" s="68">
        <v>0.1239</v>
      </c>
      <c r="O385" s="22">
        <f>+MAX(Tabla4[[#This Row],[6KWA]:[9KWA]])</f>
        <v>1.5980000000000001</v>
      </c>
      <c r="P385" s="111">
        <f t="shared" si="54"/>
        <v>21</v>
      </c>
      <c r="Q385" s="3">
        <f t="shared" si="55"/>
        <v>1</v>
      </c>
      <c r="R385" s="3">
        <f t="shared" si="48"/>
        <v>4</v>
      </c>
      <c r="S385" s="3" t="str">
        <f t="shared" si="49"/>
        <v>enero</v>
      </c>
      <c r="T385" s="21">
        <f t="shared" si="56"/>
        <v>552.65</v>
      </c>
      <c r="U385" s="21">
        <f t="shared" si="57"/>
        <v>559.30000000000007</v>
      </c>
      <c r="V385" s="21">
        <f t="shared" si="58"/>
        <v>526.04999999999995</v>
      </c>
      <c r="W385" s="21">
        <f>+Tabla4[[#This Row],[9KWA]]*350</f>
        <v>514.85</v>
      </c>
      <c r="X385" s="21">
        <f>350*Tabla4[[#This Row],[Max Factor Medido]]</f>
        <v>559.30000000000007</v>
      </c>
      <c r="Y385" s="39">
        <v>0.94</v>
      </c>
      <c r="Z385" s="3">
        <f t="shared" si="59"/>
        <v>2026</v>
      </c>
      <c r="AA385" s="74">
        <f>+MEDIAN(Tabla4[[#This Row],[kwreal 6]:[kwreal 9]])</f>
        <v>539.34999999999991</v>
      </c>
      <c r="AB385" s="74">
        <f>+Tabla4[[#This Row],[LineaBase-FD]]/350</f>
        <v>1.5409999999999997</v>
      </c>
    </row>
    <row r="386" spans="1:28" x14ac:dyDescent="0.3">
      <c r="A386" s="45">
        <v>4995</v>
      </c>
      <c r="B386" s="48">
        <v>1506</v>
      </c>
      <c r="C386" s="48">
        <v>591</v>
      </c>
      <c r="D386" s="48">
        <v>2636</v>
      </c>
      <c r="E386" s="48">
        <v>260</v>
      </c>
      <c r="F386" s="79">
        <v>1.579</v>
      </c>
      <c r="G386" s="79">
        <v>1.5980000000000001</v>
      </c>
      <c r="H386" s="79">
        <v>1.5029999999999999</v>
      </c>
      <c r="I386" s="79">
        <v>1.4710000000000001</v>
      </c>
      <c r="J386" s="52">
        <v>685</v>
      </c>
      <c r="K386" s="55">
        <v>0.2590277777777778</v>
      </c>
      <c r="L386" s="57">
        <v>46044</v>
      </c>
      <c r="M386" s="60">
        <v>0.99</v>
      </c>
      <c r="N386" s="68">
        <v>0.12540000000000001</v>
      </c>
      <c r="O386" s="22">
        <f>+MAX(Tabla4[[#This Row],[6KWA]:[9KWA]])</f>
        <v>1.5980000000000001</v>
      </c>
      <c r="P386" s="111">
        <f t="shared" si="54"/>
        <v>22</v>
      </c>
      <c r="Q386" s="3">
        <f t="shared" si="55"/>
        <v>1</v>
      </c>
      <c r="R386" s="3">
        <f t="shared" ref="R386:R423" si="60">WEEKNUM(L386)</f>
        <v>4</v>
      </c>
      <c r="S386" s="3" t="str">
        <f t="shared" ref="S386:S397" si="61">TEXT(L386,"mmmm")</f>
        <v>enero</v>
      </c>
      <c r="T386" s="21">
        <f t="shared" si="56"/>
        <v>552.65</v>
      </c>
      <c r="U386" s="21">
        <f t="shared" si="57"/>
        <v>559.30000000000007</v>
      </c>
      <c r="V386" s="21">
        <f t="shared" si="58"/>
        <v>526.04999999999995</v>
      </c>
      <c r="W386" s="21">
        <f>+Tabla4[[#This Row],[9KWA]]*350</f>
        <v>514.85</v>
      </c>
      <c r="X386" s="21">
        <f>350*Tabla4[[#This Row],[Max Factor Medido]]</f>
        <v>559.30000000000007</v>
      </c>
      <c r="Y386" s="39">
        <v>0.94</v>
      </c>
      <c r="Z386" s="3">
        <f t="shared" si="59"/>
        <v>2026</v>
      </c>
      <c r="AA386" s="74">
        <f>+MEDIAN(Tabla4[[#This Row],[kwreal 6]:[kwreal 9]])</f>
        <v>539.34999999999991</v>
      </c>
      <c r="AB386" s="74">
        <f>+Tabla4[[#This Row],[LineaBase-FD]]/350</f>
        <v>1.5409999999999997</v>
      </c>
    </row>
    <row r="387" spans="1:28" x14ac:dyDescent="0.3">
      <c r="A387" s="45">
        <v>5025</v>
      </c>
      <c r="B387" s="48">
        <v>1519</v>
      </c>
      <c r="C387" s="48">
        <v>596</v>
      </c>
      <c r="D387" s="48">
        <v>2640</v>
      </c>
      <c r="E387" s="48">
        <v>260</v>
      </c>
      <c r="F387" s="79">
        <v>1.579</v>
      </c>
      <c r="G387" s="79">
        <v>1.5980000000000001</v>
      </c>
      <c r="H387" s="79">
        <v>1.5029999999999999</v>
      </c>
      <c r="I387" s="79">
        <v>1.4710000000000001</v>
      </c>
      <c r="J387" s="52">
        <v>688</v>
      </c>
      <c r="K387" s="55">
        <v>0.26041666666666669</v>
      </c>
      <c r="L387" s="57">
        <v>46045</v>
      </c>
      <c r="M387" s="60">
        <v>0.99</v>
      </c>
      <c r="N387" s="68">
        <v>0.11940000000000001</v>
      </c>
      <c r="O387" s="22">
        <f>+MAX(Tabla4[[#This Row],[6KWA]:[9KWA]])</f>
        <v>1.5980000000000001</v>
      </c>
      <c r="P387" s="111">
        <f t="shared" si="54"/>
        <v>23</v>
      </c>
      <c r="Q387" s="3">
        <f t="shared" si="55"/>
        <v>1</v>
      </c>
      <c r="R387" s="3">
        <f t="shared" si="60"/>
        <v>4</v>
      </c>
      <c r="S387" s="3" t="str">
        <f t="shared" si="61"/>
        <v>enero</v>
      </c>
      <c r="T387" s="21">
        <f t="shared" si="56"/>
        <v>552.65</v>
      </c>
      <c r="U387" s="21">
        <f t="shared" si="57"/>
        <v>559.30000000000007</v>
      </c>
      <c r="V387" s="21">
        <f t="shared" si="58"/>
        <v>526.04999999999995</v>
      </c>
      <c r="W387" s="21">
        <f>+Tabla4[[#This Row],[9KWA]]*350</f>
        <v>514.85</v>
      </c>
      <c r="X387" s="21">
        <f>350*Tabla4[[#This Row],[Max Factor Medido]]</f>
        <v>559.30000000000007</v>
      </c>
      <c r="Y387" s="39">
        <v>0.94</v>
      </c>
      <c r="Z387" s="3">
        <f t="shared" si="59"/>
        <v>2026</v>
      </c>
      <c r="AA387" s="74">
        <f>+MEDIAN(Tabla4[[#This Row],[kwreal 6]:[kwreal 9]])</f>
        <v>539.34999999999991</v>
      </c>
      <c r="AB387" s="74">
        <f>+Tabla4[[#This Row],[LineaBase-FD]]/350</f>
        <v>1.5409999999999997</v>
      </c>
    </row>
    <row r="388" spans="1:28" x14ac:dyDescent="0.3">
      <c r="A388" s="45">
        <v>5055</v>
      </c>
      <c r="B388" s="48">
        <v>1531</v>
      </c>
      <c r="C388" s="48">
        <v>601</v>
      </c>
      <c r="D388" s="48">
        <v>2640</v>
      </c>
      <c r="E388" s="48">
        <v>260</v>
      </c>
      <c r="F388" s="79">
        <v>1.579</v>
      </c>
      <c r="G388" s="79">
        <v>1.5980000000000001</v>
      </c>
      <c r="H388" s="79">
        <v>1.5029999999999999</v>
      </c>
      <c r="I388" s="79">
        <v>1.4710000000000001</v>
      </c>
      <c r="J388" s="52">
        <v>692</v>
      </c>
      <c r="K388" s="55">
        <v>0.25069444444444444</v>
      </c>
      <c r="L388" s="57">
        <v>46046</v>
      </c>
      <c r="M388" s="60">
        <v>0.99</v>
      </c>
      <c r="N388" s="68">
        <v>0.12540000000000001</v>
      </c>
      <c r="O388" s="22">
        <f>+MAX(Tabla4[[#This Row],[6KWA]:[9KWA]])</f>
        <v>1.5980000000000001</v>
      </c>
      <c r="P388" s="111">
        <f t="shared" si="54"/>
        <v>24</v>
      </c>
      <c r="Q388" s="3">
        <f t="shared" si="55"/>
        <v>1</v>
      </c>
      <c r="R388" s="3">
        <f t="shared" si="60"/>
        <v>4</v>
      </c>
      <c r="S388" s="3" t="str">
        <f t="shared" si="61"/>
        <v>enero</v>
      </c>
      <c r="T388" s="21">
        <f t="shared" si="56"/>
        <v>552.65</v>
      </c>
      <c r="U388" s="21">
        <f t="shared" si="57"/>
        <v>559.30000000000007</v>
      </c>
      <c r="V388" s="21">
        <f t="shared" si="58"/>
        <v>526.04999999999995</v>
      </c>
      <c r="W388" s="21">
        <f>+Tabla4[[#This Row],[9KWA]]*350</f>
        <v>514.85</v>
      </c>
      <c r="X388" s="21">
        <f>350*Tabla4[[#This Row],[Max Factor Medido]]</f>
        <v>559.30000000000007</v>
      </c>
      <c r="Y388" s="39">
        <v>0.94</v>
      </c>
      <c r="Z388" s="3">
        <f t="shared" si="59"/>
        <v>2026</v>
      </c>
      <c r="AA388" s="74">
        <f>+MEDIAN(Tabla4[[#This Row],[kwreal 6]:[kwreal 9]])</f>
        <v>539.34999999999991</v>
      </c>
      <c r="AB388" s="74">
        <f>+Tabla4[[#This Row],[LineaBase-FD]]/350</f>
        <v>1.5409999999999997</v>
      </c>
    </row>
    <row r="389" spans="1:28" x14ac:dyDescent="0.3">
      <c r="A389" s="45">
        <v>5084</v>
      </c>
      <c r="B389" s="48">
        <v>1531</v>
      </c>
      <c r="C389" s="48">
        <v>601</v>
      </c>
      <c r="D389" s="48">
        <v>2685</v>
      </c>
      <c r="E389" s="48">
        <v>265</v>
      </c>
      <c r="F389" s="79">
        <v>1.579</v>
      </c>
      <c r="G389" s="79">
        <v>1.5980000000000001</v>
      </c>
      <c r="H389" s="79">
        <v>1.5469999999999999</v>
      </c>
      <c r="I389" s="79">
        <v>1.4710000000000001</v>
      </c>
      <c r="J389" s="52">
        <v>695</v>
      </c>
      <c r="K389" s="55">
        <v>0.25</v>
      </c>
      <c r="L389" s="57">
        <v>46047</v>
      </c>
      <c r="M389" s="60">
        <v>0.99</v>
      </c>
      <c r="N389" s="68">
        <v>0.1087</v>
      </c>
      <c r="O389" s="22">
        <f>+MAX(Tabla4[[#This Row],[6KWA]:[9KWA]])</f>
        <v>1.5980000000000001</v>
      </c>
      <c r="P389" s="111">
        <f t="shared" si="54"/>
        <v>25</v>
      </c>
      <c r="Q389" s="3">
        <f t="shared" si="55"/>
        <v>1</v>
      </c>
      <c r="R389" s="3">
        <f t="shared" si="60"/>
        <v>5</v>
      </c>
      <c r="S389" s="3" t="str">
        <f t="shared" si="61"/>
        <v>enero</v>
      </c>
      <c r="T389" s="21">
        <f t="shared" si="56"/>
        <v>552.65</v>
      </c>
      <c r="U389" s="21">
        <f t="shared" si="57"/>
        <v>559.30000000000007</v>
      </c>
      <c r="V389" s="21">
        <f t="shared" si="58"/>
        <v>541.44999999999993</v>
      </c>
      <c r="W389" s="21">
        <f>+Tabla4[[#This Row],[9KWA]]*350</f>
        <v>514.85</v>
      </c>
      <c r="X389" s="21">
        <f>350*Tabla4[[#This Row],[Max Factor Medido]]</f>
        <v>559.30000000000007</v>
      </c>
      <c r="Y389" s="39">
        <v>0.94</v>
      </c>
      <c r="Z389" s="3">
        <f t="shared" si="59"/>
        <v>2026</v>
      </c>
      <c r="AA389" s="74">
        <f>+MEDIAN(Tabla4[[#This Row],[kwreal 6]:[kwreal 9]])</f>
        <v>547.04999999999995</v>
      </c>
      <c r="AB389" s="74">
        <f>+Tabla4[[#This Row],[LineaBase-FD]]/350</f>
        <v>1.5629999999999999</v>
      </c>
    </row>
    <row r="390" spans="1:28" x14ac:dyDescent="0.3">
      <c r="A390" s="45">
        <v>5114</v>
      </c>
      <c r="B390" s="48">
        <v>1531</v>
      </c>
      <c r="C390" s="48">
        <v>601</v>
      </c>
      <c r="D390" s="48">
        <v>2709</v>
      </c>
      <c r="E390" s="48">
        <v>270</v>
      </c>
      <c r="F390" s="79">
        <v>1.579</v>
      </c>
      <c r="G390" s="79">
        <v>1.5980000000000001</v>
      </c>
      <c r="H390" s="79">
        <v>1.5469999999999999</v>
      </c>
      <c r="I390" s="79">
        <v>1.4710000000000001</v>
      </c>
      <c r="J390" s="52">
        <v>699</v>
      </c>
      <c r="K390" s="55">
        <v>0.24930555555555556</v>
      </c>
      <c r="L390" s="57">
        <v>46048</v>
      </c>
      <c r="M390" s="60">
        <v>0.99</v>
      </c>
      <c r="N390" s="68">
        <v>1.2410000000000001</v>
      </c>
      <c r="O390" s="22">
        <f>+MAX(Tabla4[[#This Row],[6KWA]:[9KWA]])</f>
        <v>1.5980000000000001</v>
      </c>
      <c r="P390" s="111">
        <f t="shared" si="54"/>
        <v>26</v>
      </c>
      <c r="Q390" s="3">
        <f t="shared" si="55"/>
        <v>1</v>
      </c>
      <c r="R390" s="3">
        <f t="shared" si="60"/>
        <v>5</v>
      </c>
      <c r="S390" s="3" t="str">
        <f t="shared" si="61"/>
        <v>enero</v>
      </c>
      <c r="T390" s="21">
        <f t="shared" si="56"/>
        <v>552.65</v>
      </c>
      <c r="U390" s="21">
        <f t="shared" si="57"/>
        <v>559.30000000000007</v>
      </c>
      <c r="V390" s="21">
        <f t="shared" si="58"/>
        <v>541.44999999999993</v>
      </c>
      <c r="W390" s="21">
        <f>+Tabla4[[#This Row],[9KWA]]*350</f>
        <v>514.85</v>
      </c>
      <c r="X390" s="21">
        <f>350*Tabla4[[#This Row],[Max Factor Medido]]</f>
        <v>559.30000000000007</v>
      </c>
      <c r="Y390" s="39">
        <v>0.94</v>
      </c>
      <c r="Z390" s="3">
        <f t="shared" si="59"/>
        <v>2026</v>
      </c>
      <c r="AA390" s="74">
        <f>+MEDIAN(Tabla4[[#This Row],[kwreal 6]:[kwreal 9]])</f>
        <v>547.04999999999995</v>
      </c>
      <c r="AB390" s="74">
        <f>+Tabla4[[#This Row],[LineaBase-FD]]/350</f>
        <v>1.5629999999999999</v>
      </c>
    </row>
    <row r="391" spans="1:28" x14ac:dyDescent="0.3">
      <c r="A391" s="45">
        <v>5144</v>
      </c>
      <c r="B391" s="48">
        <v>1544</v>
      </c>
      <c r="C391" s="48">
        <v>606</v>
      </c>
      <c r="D391" s="48">
        <v>2722</v>
      </c>
      <c r="E391" s="48">
        <v>270</v>
      </c>
      <c r="F391" s="79">
        <v>1.579</v>
      </c>
      <c r="G391" s="79">
        <v>1.5980000000000001</v>
      </c>
      <c r="H391" s="79">
        <v>1.5469999999999999</v>
      </c>
      <c r="I391" s="79">
        <v>1.4710000000000001</v>
      </c>
      <c r="J391" s="52">
        <v>702</v>
      </c>
      <c r="K391" s="55">
        <v>0.26111111111111113</v>
      </c>
      <c r="L391" s="57">
        <v>46049</v>
      </c>
      <c r="M391" s="60">
        <v>0.99</v>
      </c>
      <c r="N391" s="68">
        <v>1.375</v>
      </c>
      <c r="O391" s="22">
        <f>+MAX(Tabla4[[#This Row],[6KWA]:[9KWA]])</f>
        <v>1.5980000000000001</v>
      </c>
      <c r="P391" s="111">
        <f t="shared" si="54"/>
        <v>27</v>
      </c>
      <c r="Q391" s="3">
        <f t="shared" si="55"/>
        <v>1</v>
      </c>
      <c r="R391" s="3">
        <f t="shared" si="60"/>
        <v>5</v>
      </c>
      <c r="S391" s="3" t="str">
        <f t="shared" si="61"/>
        <v>enero</v>
      </c>
      <c r="T391" s="21">
        <f t="shared" si="56"/>
        <v>552.65</v>
      </c>
      <c r="U391" s="21">
        <f t="shared" si="57"/>
        <v>559.30000000000007</v>
      </c>
      <c r="V391" s="21">
        <f t="shared" si="58"/>
        <v>541.44999999999993</v>
      </c>
      <c r="W391" s="21">
        <f>+Tabla4[[#This Row],[9KWA]]*350</f>
        <v>514.85</v>
      </c>
      <c r="X391" s="21">
        <f>350*Tabla4[[#This Row],[Max Factor Medido]]</f>
        <v>559.30000000000007</v>
      </c>
      <c r="Y391" s="39">
        <v>0.94</v>
      </c>
      <c r="Z391" s="3">
        <f t="shared" si="59"/>
        <v>2026</v>
      </c>
      <c r="AA391" s="74">
        <f>+MEDIAN(Tabla4[[#This Row],[kwreal 6]:[kwreal 9]])</f>
        <v>547.04999999999995</v>
      </c>
      <c r="AB391" s="74">
        <f>+Tabla4[[#This Row],[LineaBase-FD]]/350</f>
        <v>1.5629999999999999</v>
      </c>
    </row>
    <row r="392" spans="1:28" x14ac:dyDescent="0.3">
      <c r="A392" s="45">
        <v>5174</v>
      </c>
      <c r="B392" s="48">
        <v>1557</v>
      </c>
      <c r="C392" s="48">
        <v>611</v>
      </c>
      <c r="D392" s="48">
        <v>2733</v>
      </c>
      <c r="E392" s="48">
        <v>270</v>
      </c>
      <c r="F392" s="79">
        <v>1.579</v>
      </c>
      <c r="G392" s="79">
        <v>1.5980000000000001</v>
      </c>
      <c r="H392" s="79">
        <v>1.5469999999999999</v>
      </c>
      <c r="I392" s="79">
        <v>1.4710000000000001</v>
      </c>
      <c r="J392" s="52">
        <v>706</v>
      </c>
      <c r="K392" s="55">
        <v>0.24652777777777779</v>
      </c>
      <c r="L392" s="57">
        <v>46050</v>
      </c>
      <c r="M392" s="60">
        <v>0.99</v>
      </c>
      <c r="N392" s="68">
        <v>1.165</v>
      </c>
      <c r="O392" s="22">
        <f>+MAX(Tabla4[[#This Row],[6KWA]:[9KWA]])</f>
        <v>1.5980000000000001</v>
      </c>
      <c r="P392" s="111">
        <f t="shared" si="54"/>
        <v>28</v>
      </c>
      <c r="Q392" s="3">
        <f t="shared" si="55"/>
        <v>1</v>
      </c>
      <c r="R392" s="3">
        <f t="shared" si="60"/>
        <v>5</v>
      </c>
      <c r="S392" s="3" t="str">
        <f t="shared" si="61"/>
        <v>enero</v>
      </c>
      <c r="T392" s="21">
        <f t="shared" si="56"/>
        <v>552.65</v>
      </c>
      <c r="U392" s="21">
        <f t="shared" si="57"/>
        <v>559.30000000000007</v>
      </c>
      <c r="V392" s="21">
        <f t="shared" si="58"/>
        <v>541.44999999999993</v>
      </c>
      <c r="W392" s="21">
        <f>+Tabla4[[#This Row],[9KWA]]*350</f>
        <v>514.85</v>
      </c>
      <c r="X392" s="21">
        <f>350*Tabla4[[#This Row],[Max Factor Medido]]</f>
        <v>559.30000000000007</v>
      </c>
      <c r="Y392" s="39">
        <v>0.94</v>
      </c>
      <c r="Z392" s="3">
        <f t="shared" si="59"/>
        <v>2026</v>
      </c>
      <c r="AA392" s="74">
        <f>+MEDIAN(Tabla4[[#This Row],[kwreal 6]:[kwreal 9]])</f>
        <v>547.04999999999995</v>
      </c>
      <c r="AB392" s="74">
        <f>+Tabla4[[#This Row],[LineaBase-FD]]/350</f>
        <v>1.5629999999999999</v>
      </c>
    </row>
    <row r="393" spans="1:28" x14ac:dyDescent="0.3">
      <c r="A393" s="45">
        <v>5204</v>
      </c>
      <c r="B393" s="48">
        <v>1570</v>
      </c>
      <c r="C393" s="48">
        <v>617</v>
      </c>
      <c r="D393" s="48">
        <v>2746</v>
      </c>
      <c r="E393" s="48">
        <v>270</v>
      </c>
      <c r="F393" s="79">
        <v>1.579</v>
      </c>
      <c r="G393" s="79">
        <v>1.5980000000000001</v>
      </c>
      <c r="H393" s="79">
        <v>1.5469999999999999</v>
      </c>
      <c r="I393" s="79">
        <v>1.4710000000000001</v>
      </c>
      <c r="J393" s="52">
        <v>710</v>
      </c>
      <c r="K393" s="55">
        <v>0.25347222222222221</v>
      </c>
      <c r="L393" s="57">
        <v>46051</v>
      </c>
      <c r="M393" s="60">
        <v>0.99</v>
      </c>
      <c r="N393" s="68">
        <v>1.206</v>
      </c>
      <c r="O393" s="22">
        <f>+MAX(Tabla4[[#This Row],[6KWA]:[9KWA]])</f>
        <v>1.5980000000000001</v>
      </c>
      <c r="P393" s="111">
        <f t="shared" si="54"/>
        <v>29</v>
      </c>
      <c r="Q393" s="3">
        <f t="shared" si="55"/>
        <v>1</v>
      </c>
      <c r="R393" s="3">
        <f t="shared" si="60"/>
        <v>5</v>
      </c>
      <c r="S393" s="3" t="str">
        <f t="shared" si="61"/>
        <v>enero</v>
      </c>
      <c r="T393" s="21">
        <f t="shared" si="56"/>
        <v>552.65</v>
      </c>
      <c r="U393" s="21">
        <f t="shared" si="57"/>
        <v>559.30000000000007</v>
      </c>
      <c r="V393" s="21">
        <f t="shared" si="58"/>
        <v>541.44999999999993</v>
      </c>
      <c r="W393" s="21">
        <f>+Tabla4[[#This Row],[9KWA]]*350</f>
        <v>514.85</v>
      </c>
      <c r="X393" s="21">
        <f>350*Tabla4[[#This Row],[Max Factor Medido]]</f>
        <v>559.30000000000007</v>
      </c>
      <c r="Y393" s="39">
        <v>0.94</v>
      </c>
      <c r="Z393" s="3">
        <f t="shared" si="59"/>
        <v>2026</v>
      </c>
      <c r="AA393" s="74">
        <f>+MEDIAN(Tabla4[[#This Row],[kwreal 6]:[kwreal 9]])</f>
        <v>547.04999999999995</v>
      </c>
      <c r="AB393" s="74">
        <f>+Tabla4[[#This Row],[LineaBase-FD]]/350</f>
        <v>1.5629999999999999</v>
      </c>
    </row>
    <row r="394" spans="1:28" x14ac:dyDescent="0.3">
      <c r="A394" s="47">
        <v>5235</v>
      </c>
      <c r="B394" s="50">
        <v>1583</v>
      </c>
      <c r="C394" s="50">
        <v>622</v>
      </c>
      <c r="D394" s="50">
        <v>2758</v>
      </c>
      <c r="E394" s="50">
        <v>270</v>
      </c>
      <c r="F394" s="81">
        <v>1.579</v>
      </c>
      <c r="G394" s="81">
        <v>1.5980000000000001</v>
      </c>
      <c r="H394" s="81">
        <v>1.5469999999999999</v>
      </c>
      <c r="I394" s="81">
        <v>1.4710000000000001</v>
      </c>
      <c r="J394" s="54">
        <v>714</v>
      </c>
      <c r="K394" s="56">
        <v>0.25318287037037035</v>
      </c>
      <c r="L394" s="59">
        <v>46052</v>
      </c>
      <c r="M394" s="62">
        <v>0.98</v>
      </c>
      <c r="N394" s="70">
        <v>1.244</v>
      </c>
      <c r="O394" s="22">
        <f>+MAX(Tabla4[[#This Row],[6KWA]:[9KWA]])</f>
        <v>1.5980000000000001</v>
      </c>
      <c r="P394" s="111">
        <f t="shared" si="54"/>
        <v>30</v>
      </c>
      <c r="Q394" s="3">
        <f t="shared" si="55"/>
        <v>1</v>
      </c>
      <c r="R394" s="3">
        <f t="shared" si="60"/>
        <v>5</v>
      </c>
      <c r="S394" s="3" t="str">
        <f t="shared" si="61"/>
        <v>enero</v>
      </c>
      <c r="T394" s="21">
        <f t="shared" si="56"/>
        <v>552.65</v>
      </c>
      <c r="U394" s="21">
        <f t="shared" si="57"/>
        <v>559.30000000000007</v>
      </c>
      <c r="V394" s="21">
        <f t="shared" si="58"/>
        <v>541.44999999999993</v>
      </c>
      <c r="W394" s="21">
        <f>+Tabla4[[#This Row],[9KWA]]*350</f>
        <v>514.85</v>
      </c>
      <c r="X394" s="21">
        <f>350*Tabla4[[#This Row],[Max Factor Medido]]</f>
        <v>559.30000000000007</v>
      </c>
      <c r="Y394" s="39">
        <v>0.94</v>
      </c>
      <c r="Z394" s="3">
        <f t="shared" si="59"/>
        <v>2026</v>
      </c>
      <c r="AA394" s="74">
        <f>+MEDIAN(Tabla4[[#This Row],[kwreal 6]:[kwreal 9]])</f>
        <v>547.04999999999995</v>
      </c>
      <c r="AB394" s="74">
        <f>+Tabla4[[#This Row],[LineaBase-FD]]/350</f>
        <v>1.5629999999999999</v>
      </c>
    </row>
    <row r="395" spans="1:28" x14ac:dyDescent="0.3">
      <c r="A395" s="47">
        <v>5265</v>
      </c>
      <c r="B395" s="50">
        <v>1579</v>
      </c>
      <c r="C395" s="50">
        <v>627</v>
      </c>
      <c r="D395" s="50">
        <v>2770</v>
      </c>
      <c r="E395" s="50">
        <v>270</v>
      </c>
      <c r="F395" s="81">
        <v>1.579</v>
      </c>
      <c r="G395" s="81">
        <v>1.5980000000000001</v>
      </c>
      <c r="H395" s="81">
        <v>1.5469999999999999</v>
      </c>
      <c r="I395" s="81">
        <v>1.4710000000000001</v>
      </c>
      <c r="J395" s="54">
        <v>717</v>
      </c>
      <c r="K395" s="56">
        <v>0.25050925925925926</v>
      </c>
      <c r="L395" s="59">
        <v>46053</v>
      </c>
      <c r="M395" s="62">
        <v>0.98</v>
      </c>
      <c r="N395" s="68">
        <v>1.6</v>
      </c>
      <c r="O395" s="22">
        <f>+MAX(Tabla4[[#This Row],[6KWA]:[9KWA]])</f>
        <v>1.5980000000000001</v>
      </c>
      <c r="P395" s="111">
        <f t="shared" si="54"/>
        <v>31</v>
      </c>
      <c r="Q395" s="3">
        <f t="shared" si="55"/>
        <v>1</v>
      </c>
      <c r="R395" s="3">
        <f t="shared" si="60"/>
        <v>5</v>
      </c>
      <c r="S395" s="3" t="str">
        <f t="shared" si="61"/>
        <v>enero</v>
      </c>
      <c r="T395" s="21">
        <f t="shared" si="56"/>
        <v>552.65</v>
      </c>
      <c r="U395" s="21">
        <f t="shared" si="57"/>
        <v>559.30000000000007</v>
      </c>
      <c r="V395" s="21">
        <f t="shared" si="58"/>
        <v>541.44999999999993</v>
      </c>
      <c r="W395" s="21">
        <f>+Tabla4[[#This Row],[9KWA]]*350</f>
        <v>514.85</v>
      </c>
      <c r="X395" s="21">
        <f>350*Tabla4[[#This Row],[Max Factor Medido]]</f>
        <v>559.30000000000007</v>
      </c>
      <c r="Y395" s="39">
        <v>0.94</v>
      </c>
      <c r="Z395" s="3">
        <f t="shared" si="59"/>
        <v>2026</v>
      </c>
      <c r="AA395" s="74">
        <f>+MEDIAN(Tabla4[[#This Row],[kwreal 6]:[kwreal 9]])</f>
        <v>547.04999999999995</v>
      </c>
      <c r="AB395" s="74">
        <f>+Tabla4[[#This Row],[LineaBase-FD]]/350</f>
        <v>1.5629999999999999</v>
      </c>
    </row>
    <row r="396" spans="1:28" x14ac:dyDescent="0.3">
      <c r="A396" s="47">
        <v>5295</v>
      </c>
      <c r="B396" s="50">
        <v>1596</v>
      </c>
      <c r="C396" s="50">
        <v>627</v>
      </c>
      <c r="D396" s="50">
        <v>2795</v>
      </c>
      <c r="E396" s="50">
        <v>275</v>
      </c>
      <c r="F396" s="81">
        <v>0</v>
      </c>
      <c r="G396" s="81">
        <v>0</v>
      </c>
      <c r="H396" s="81">
        <v>1.2609999999999999</v>
      </c>
      <c r="I396" s="81">
        <v>0</v>
      </c>
      <c r="J396" s="54">
        <v>721</v>
      </c>
      <c r="K396" s="56">
        <v>0.25775462962962964</v>
      </c>
      <c r="L396" s="59">
        <v>46054</v>
      </c>
      <c r="M396" s="62">
        <v>0.99</v>
      </c>
      <c r="N396" s="68">
        <v>1.1850000000000001</v>
      </c>
      <c r="O396" s="22">
        <f>+MAX(Tabla4[[#This Row],[6KWA]:[9KWA]])</f>
        <v>1.2609999999999999</v>
      </c>
      <c r="P396" s="111">
        <f t="shared" si="54"/>
        <v>1</v>
      </c>
      <c r="Q396" s="3">
        <f t="shared" si="55"/>
        <v>2</v>
      </c>
      <c r="R396" s="3">
        <f t="shared" si="60"/>
        <v>6</v>
      </c>
      <c r="S396" s="3" t="str">
        <f t="shared" si="61"/>
        <v>febrero</v>
      </c>
      <c r="T396" s="21">
        <f t="shared" si="56"/>
        <v>0</v>
      </c>
      <c r="U396" s="21">
        <f t="shared" si="57"/>
        <v>0</v>
      </c>
      <c r="V396" s="21">
        <f t="shared" si="58"/>
        <v>441.34999999999997</v>
      </c>
      <c r="W396" s="21">
        <f>+Tabla4[[#This Row],[9KWA]]*350</f>
        <v>0</v>
      </c>
      <c r="X396" s="21">
        <f>350*Tabla4[[#This Row],[Max Factor Medido]]</f>
        <v>441.34999999999997</v>
      </c>
      <c r="Y396" s="39">
        <v>0.94</v>
      </c>
      <c r="Z396" s="3">
        <f t="shared" si="59"/>
        <v>2026</v>
      </c>
      <c r="AA396" s="21">
        <f>+MEDIAN(Tabla4[[#This Row],[kwreal 6]:[kwreal 9]])</f>
        <v>0</v>
      </c>
      <c r="AB396" s="21">
        <f>+Tabla4[[#This Row],[LineaBase-FD]]/350</f>
        <v>0</v>
      </c>
    </row>
    <row r="397" spans="1:28" x14ac:dyDescent="0.3">
      <c r="A397" s="63">
        <v>5324</v>
      </c>
      <c r="B397" s="63">
        <v>1596</v>
      </c>
      <c r="C397" s="63">
        <v>627</v>
      </c>
      <c r="D397" s="63">
        <v>2819</v>
      </c>
      <c r="E397" s="63">
        <v>280</v>
      </c>
      <c r="F397" s="63">
        <v>0</v>
      </c>
      <c r="G397" s="63">
        <v>0</v>
      </c>
      <c r="H397" s="63">
        <v>1.46</v>
      </c>
      <c r="I397" s="63">
        <v>1.3360000000000001</v>
      </c>
      <c r="J397" s="63">
        <v>725</v>
      </c>
      <c r="K397" s="56">
        <v>0.25716435185185182</v>
      </c>
      <c r="L397" s="59">
        <v>46055</v>
      </c>
      <c r="M397" s="63">
        <v>0.99</v>
      </c>
      <c r="N397" s="68">
        <v>1.1850000000000001</v>
      </c>
      <c r="O397" s="22">
        <f>+MAX(Tabla4[[#This Row],[6KWA]:[9KWA]])</f>
        <v>1.46</v>
      </c>
      <c r="P397" s="33">
        <f t="shared" si="54"/>
        <v>2</v>
      </c>
      <c r="Q397" s="33">
        <f t="shared" si="55"/>
        <v>2</v>
      </c>
      <c r="R397" s="33">
        <f t="shared" si="60"/>
        <v>6</v>
      </c>
      <c r="S397" s="33" t="str">
        <f t="shared" si="61"/>
        <v>febrero</v>
      </c>
      <c r="T397" s="39">
        <f t="shared" si="56"/>
        <v>0</v>
      </c>
      <c r="U397" s="39">
        <f t="shared" si="57"/>
        <v>0</v>
      </c>
      <c r="V397" s="39">
        <f t="shared" si="58"/>
        <v>511</v>
      </c>
      <c r="W397" s="39">
        <f>+Tabla4[[#This Row],[9KWA]]*350</f>
        <v>467.6</v>
      </c>
      <c r="X397" s="39">
        <f>350*Tabla4[[#This Row],[Max Factor Medido]]</f>
        <v>511</v>
      </c>
      <c r="Y397" s="39">
        <v>0.94</v>
      </c>
      <c r="Z397" s="33">
        <f t="shared" si="59"/>
        <v>2026</v>
      </c>
      <c r="AA397" s="39">
        <f>+MEDIAN(Tabla4[[#This Row],[kwreal 6]:[kwreal 9]])</f>
        <v>233.8</v>
      </c>
      <c r="AB397" s="21">
        <f>+Tabla4[[#This Row],[LineaBase-FD]]/350</f>
        <v>0.66800000000000004</v>
      </c>
    </row>
    <row r="398" spans="1:28" x14ac:dyDescent="0.3">
      <c r="A398" s="63">
        <v>5354</v>
      </c>
      <c r="B398" s="63">
        <v>1608</v>
      </c>
      <c r="C398" s="63">
        <v>632</v>
      </c>
      <c r="D398" s="63">
        <v>2831</v>
      </c>
      <c r="E398" s="63">
        <v>280</v>
      </c>
      <c r="F398" s="82">
        <v>1.431</v>
      </c>
      <c r="G398" s="82">
        <v>1.47</v>
      </c>
      <c r="H398" s="82">
        <v>1.468</v>
      </c>
      <c r="I398" s="82">
        <v>1.3360000000000001</v>
      </c>
      <c r="J398" s="63">
        <v>728</v>
      </c>
      <c r="K398" s="56">
        <v>0.24791666666666667</v>
      </c>
      <c r="L398" s="59">
        <v>46056</v>
      </c>
      <c r="M398" s="63">
        <v>0.99</v>
      </c>
      <c r="N398" s="68">
        <v>1.073</v>
      </c>
      <c r="O398" s="22">
        <f>+MAX(Tabla4[[#This Row],[6KWA]:[9KWA]])</f>
        <v>1.47</v>
      </c>
      <c r="P398" s="3">
        <f t="shared" ref="P398:P412" si="62">+DAY(L398)</f>
        <v>3</v>
      </c>
      <c r="Q398" s="3">
        <f t="shared" ref="Q398:Q412" si="63">+MONTH(L398)</f>
        <v>2</v>
      </c>
      <c r="R398" s="3">
        <f t="shared" si="60"/>
        <v>6</v>
      </c>
      <c r="S398" s="3" t="str">
        <f t="shared" ref="S398:S412" si="64">TEXT(L398,"mmmm")</f>
        <v>febrero</v>
      </c>
      <c r="T398" s="21">
        <f t="shared" ref="T398:T412" si="65">350*F398</f>
        <v>500.85</v>
      </c>
      <c r="U398" s="21">
        <f t="shared" ref="U398:U412" si="66">350*G398</f>
        <v>514.5</v>
      </c>
      <c r="V398" s="21">
        <f t="shared" ref="V398:V412" si="67">350*H398</f>
        <v>513.79999999999995</v>
      </c>
      <c r="W398" s="21">
        <f>+Tabla4[[#This Row],[9KWA]]*350</f>
        <v>467.6</v>
      </c>
      <c r="X398" s="21">
        <f>350*Tabla4[[#This Row],[Max Factor Medido]]</f>
        <v>514.5</v>
      </c>
      <c r="Y398" s="39">
        <v>0.94</v>
      </c>
      <c r="Z398" s="3">
        <f t="shared" ref="Z398:Z412" si="68">+YEAR(L398)</f>
        <v>2026</v>
      </c>
      <c r="AA398" s="21">
        <f>+MEDIAN(Tabla4[[#This Row],[kwreal 6]:[kwreal 9]])</f>
        <v>507.32499999999999</v>
      </c>
      <c r="AB398" s="21">
        <f>+Tabla4[[#This Row],[LineaBase-FD]]/350</f>
        <v>1.4495</v>
      </c>
    </row>
    <row r="399" spans="1:28" x14ac:dyDescent="0.3">
      <c r="A399" s="63">
        <v>5384</v>
      </c>
      <c r="B399" s="63">
        <v>1622</v>
      </c>
      <c r="C399" s="63">
        <v>632</v>
      </c>
      <c r="D399" s="63">
        <v>2843</v>
      </c>
      <c r="E399" s="63">
        <v>280</v>
      </c>
      <c r="F399" s="82">
        <v>1.5089999999999999</v>
      </c>
      <c r="G399" s="82">
        <v>1.47</v>
      </c>
      <c r="H399" s="82">
        <v>1.468</v>
      </c>
      <c r="I399" s="82">
        <v>1.3360000000000001</v>
      </c>
      <c r="J399" s="63">
        <v>732</v>
      </c>
      <c r="K399" s="56">
        <v>0.24930555555555556</v>
      </c>
      <c r="L399" s="59">
        <v>46057</v>
      </c>
      <c r="M399" s="63">
        <v>0.98</v>
      </c>
      <c r="N399" s="68">
        <v>1.214</v>
      </c>
      <c r="O399" s="22">
        <f>+MAX(Tabla4[[#This Row],[6KWA]:[9KWA]])</f>
        <v>1.5089999999999999</v>
      </c>
      <c r="P399" s="3">
        <f t="shared" si="62"/>
        <v>4</v>
      </c>
      <c r="Q399" s="3">
        <f t="shared" si="63"/>
        <v>2</v>
      </c>
      <c r="R399" s="3">
        <f t="shared" si="60"/>
        <v>6</v>
      </c>
      <c r="S399" s="3" t="str">
        <f t="shared" si="64"/>
        <v>febrero</v>
      </c>
      <c r="T399" s="21">
        <f t="shared" si="65"/>
        <v>528.15</v>
      </c>
      <c r="U399" s="21">
        <f t="shared" si="66"/>
        <v>514.5</v>
      </c>
      <c r="V399" s="21">
        <f t="shared" si="67"/>
        <v>513.79999999999995</v>
      </c>
      <c r="W399" s="21">
        <f>+Tabla4[[#This Row],[9KWA]]*350</f>
        <v>467.6</v>
      </c>
      <c r="X399" s="21">
        <f>350*Tabla4[[#This Row],[Max Factor Medido]]</f>
        <v>528.15</v>
      </c>
      <c r="Y399" s="39">
        <v>0.94</v>
      </c>
      <c r="Z399" s="3">
        <f t="shared" si="68"/>
        <v>2026</v>
      </c>
      <c r="AA399" s="21">
        <f>+MEDIAN(Tabla4[[#This Row],[kwreal 6]:[kwreal 9]])</f>
        <v>514.15</v>
      </c>
      <c r="AB399" s="21">
        <f>+Tabla4[[#This Row],[LineaBase-FD]]/350</f>
        <v>1.4689999999999999</v>
      </c>
    </row>
    <row r="400" spans="1:28" x14ac:dyDescent="0.3">
      <c r="A400" s="63">
        <v>5415</v>
      </c>
      <c r="B400" s="63">
        <v>1635</v>
      </c>
      <c r="C400" s="63">
        <v>643</v>
      </c>
      <c r="D400" s="63">
        <v>2855</v>
      </c>
      <c r="E400" s="63">
        <v>280</v>
      </c>
      <c r="F400" s="82">
        <v>1.516</v>
      </c>
      <c r="G400" s="82">
        <v>1.47</v>
      </c>
      <c r="H400" s="82">
        <v>1.468</v>
      </c>
      <c r="I400" s="82">
        <v>1.3360000000000001</v>
      </c>
      <c r="J400" s="63">
        <v>736</v>
      </c>
      <c r="K400" s="56">
        <v>0.24861111111111112</v>
      </c>
      <c r="L400" s="59">
        <v>46058</v>
      </c>
      <c r="M400" s="63">
        <v>0.98</v>
      </c>
      <c r="N400" s="68">
        <v>1.34</v>
      </c>
      <c r="O400" s="22">
        <f>+MAX(Tabla4[[#This Row],[6KWA]:[9KWA]])</f>
        <v>1.516</v>
      </c>
      <c r="P400" s="3">
        <f t="shared" si="62"/>
        <v>5</v>
      </c>
      <c r="Q400" s="3">
        <f t="shared" si="63"/>
        <v>2</v>
      </c>
      <c r="R400" s="3">
        <f t="shared" si="60"/>
        <v>6</v>
      </c>
      <c r="S400" s="3" t="str">
        <f t="shared" si="64"/>
        <v>febrero</v>
      </c>
      <c r="T400" s="21">
        <f t="shared" si="65"/>
        <v>530.6</v>
      </c>
      <c r="U400" s="21">
        <f t="shared" si="66"/>
        <v>514.5</v>
      </c>
      <c r="V400" s="21">
        <f t="shared" si="67"/>
        <v>513.79999999999995</v>
      </c>
      <c r="W400" s="21">
        <f>+Tabla4[[#This Row],[9KWA]]*350</f>
        <v>467.6</v>
      </c>
      <c r="X400" s="21">
        <f>350*Tabla4[[#This Row],[Max Factor Medido]]</f>
        <v>530.6</v>
      </c>
      <c r="Y400" s="39">
        <v>0.94</v>
      </c>
      <c r="Z400" s="3">
        <f t="shared" si="68"/>
        <v>2026</v>
      </c>
      <c r="AA400" s="21">
        <f>+MEDIAN(Tabla4[[#This Row],[kwreal 6]:[kwreal 9]])</f>
        <v>514.15</v>
      </c>
      <c r="AB400" s="21">
        <f>+Tabla4[[#This Row],[LineaBase-FD]]/350</f>
        <v>1.4689999999999999</v>
      </c>
    </row>
    <row r="401" spans="1:28" x14ac:dyDescent="0.3">
      <c r="A401" s="63">
        <v>5445</v>
      </c>
      <c r="B401" s="63">
        <v>1648</v>
      </c>
      <c r="C401" s="63">
        <v>648</v>
      </c>
      <c r="D401" s="63">
        <v>2867</v>
      </c>
      <c r="E401" s="63">
        <v>280</v>
      </c>
      <c r="F401" s="82">
        <v>1.516</v>
      </c>
      <c r="G401" s="82">
        <v>1.47</v>
      </c>
      <c r="H401" s="82">
        <v>1.468</v>
      </c>
      <c r="I401" s="82">
        <v>1.3360000000000001</v>
      </c>
      <c r="J401" s="63">
        <v>740</v>
      </c>
      <c r="K401" s="56">
        <v>0.24861111111111112</v>
      </c>
      <c r="L401" s="59">
        <v>46059</v>
      </c>
      <c r="M401" s="63">
        <v>0.99</v>
      </c>
      <c r="N401" s="68">
        <v>1.2310000000000001</v>
      </c>
      <c r="O401" s="22">
        <f>+MAX(Tabla4[[#This Row],[6KWA]:[9KWA]])</f>
        <v>1.516</v>
      </c>
      <c r="P401" s="3">
        <f t="shared" si="62"/>
        <v>6</v>
      </c>
      <c r="Q401" s="3">
        <f t="shared" si="63"/>
        <v>2</v>
      </c>
      <c r="R401" s="3">
        <f t="shared" si="60"/>
        <v>6</v>
      </c>
      <c r="S401" s="3" t="str">
        <f t="shared" si="64"/>
        <v>febrero</v>
      </c>
      <c r="T401" s="21">
        <f t="shared" si="65"/>
        <v>530.6</v>
      </c>
      <c r="U401" s="21">
        <f t="shared" si="66"/>
        <v>514.5</v>
      </c>
      <c r="V401" s="21">
        <f t="shared" si="67"/>
        <v>513.79999999999995</v>
      </c>
      <c r="W401" s="21">
        <f>+Tabla4[[#This Row],[9KWA]]*350</f>
        <v>467.6</v>
      </c>
      <c r="X401" s="21">
        <f>350*Tabla4[[#This Row],[Max Factor Medido]]</f>
        <v>530.6</v>
      </c>
      <c r="Y401" s="39">
        <v>0.94</v>
      </c>
      <c r="Z401" s="3">
        <f t="shared" si="68"/>
        <v>2026</v>
      </c>
      <c r="AA401" s="21">
        <f>+MEDIAN(Tabla4[[#This Row],[kwreal 6]:[kwreal 9]])</f>
        <v>514.15</v>
      </c>
      <c r="AB401" s="21">
        <f>+Tabla4[[#This Row],[LineaBase-FD]]/350</f>
        <v>1.4689999999999999</v>
      </c>
    </row>
    <row r="402" spans="1:28" x14ac:dyDescent="0.3">
      <c r="A402" s="63">
        <v>5476</v>
      </c>
      <c r="B402" s="63">
        <v>1662</v>
      </c>
      <c r="C402" s="63">
        <v>653</v>
      </c>
      <c r="D402" s="63">
        <v>2879</v>
      </c>
      <c r="E402" s="63">
        <v>280</v>
      </c>
      <c r="F402" s="82">
        <v>1.516</v>
      </c>
      <c r="G402" s="82">
        <v>1.47</v>
      </c>
      <c r="H402" s="82">
        <v>1.468</v>
      </c>
      <c r="I402" s="82">
        <v>1.3360000000000001</v>
      </c>
      <c r="J402" s="63">
        <v>745</v>
      </c>
      <c r="K402" s="56">
        <v>0.24930555555555556</v>
      </c>
      <c r="L402" s="59">
        <v>46060</v>
      </c>
      <c r="M402" s="63">
        <v>0.98</v>
      </c>
      <c r="N402" s="68">
        <v>1.3049999999999999</v>
      </c>
      <c r="O402" s="22">
        <f>+MAX(Tabla4[[#This Row],[6KWA]:[9KWA]])</f>
        <v>1.516</v>
      </c>
      <c r="P402" s="3">
        <f t="shared" si="62"/>
        <v>7</v>
      </c>
      <c r="Q402" s="3">
        <f t="shared" si="63"/>
        <v>2</v>
      </c>
      <c r="R402" s="3">
        <f t="shared" si="60"/>
        <v>6</v>
      </c>
      <c r="S402" s="3" t="str">
        <f t="shared" si="64"/>
        <v>febrero</v>
      </c>
      <c r="T402" s="21">
        <f t="shared" si="65"/>
        <v>530.6</v>
      </c>
      <c r="U402" s="21">
        <f t="shared" si="66"/>
        <v>514.5</v>
      </c>
      <c r="V402" s="21">
        <f t="shared" si="67"/>
        <v>513.79999999999995</v>
      </c>
      <c r="W402" s="21">
        <f>+Tabla4[[#This Row],[9KWA]]*350</f>
        <v>467.6</v>
      </c>
      <c r="X402" s="21">
        <f>350*Tabla4[[#This Row],[Max Factor Medido]]</f>
        <v>530.6</v>
      </c>
      <c r="Y402" s="39">
        <v>0.94</v>
      </c>
      <c r="Z402" s="3">
        <f t="shared" si="68"/>
        <v>2026</v>
      </c>
      <c r="AA402" s="21">
        <f>+MEDIAN(Tabla4[[#This Row],[kwreal 6]:[kwreal 9]])</f>
        <v>514.15</v>
      </c>
      <c r="AB402" s="21">
        <f>+Tabla4[[#This Row],[LineaBase-FD]]/350</f>
        <v>1.4689999999999999</v>
      </c>
    </row>
    <row r="403" spans="1:28" x14ac:dyDescent="0.3">
      <c r="A403" s="63">
        <v>5506</v>
      </c>
      <c r="B403" s="63">
        <v>1662</v>
      </c>
      <c r="C403" s="63">
        <v>653</v>
      </c>
      <c r="D403" s="63">
        <v>2904</v>
      </c>
      <c r="E403" s="63">
        <v>285</v>
      </c>
      <c r="F403" s="82">
        <v>1.516</v>
      </c>
      <c r="G403" s="82">
        <v>1.47</v>
      </c>
      <c r="H403" s="82">
        <v>1.468</v>
      </c>
      <c r="I403" s="82">
        <v>1.4</v>
      </c>
      <c r="J403" s="63">
        <v>749</v>
      </c>
      <c r="K403" s="56">
        <v>0.25</v>
      </c>
      <c r="L403" s="59">
        <v>46061</v>
      </c>
      <c r="M403" s="63">
        <v>0.98</v>
      </c>
      <c r="N403" s="68">
        <v>1.3049999999999999</v>
      </c>
      <c r="O403" s="22">
        <f>+MAX(Tabla4[[#This Row],[6KWA]:[9KWA]])</f>
        <v>1.516</v>
      </c>
      <c r="P403" s="3">
        <f t="shared" si="62"/>
        <v>8</v>
      </c>
      <c r="Q403" s="3">
        <f t="shared" si="63"/>
        <v>2</v>
      </c>
      <c r="R403" s="3">
        <f t="shared" si="60"/>
        <v>7</v>
      </c>
      <c r="S403" s="3" t="str">
        <f t="shared" si="64"/>
        <v>febrero</v>
      </c>
      <c r="T403" s="21">
        <f t="shared" si="65"/>
        <v>530.6</v>
      </c>
      <c r="U403" s="21">
        <f t="shared" si="66"/>
        <v>514.5</v>
      </c>
      <c r="V403" s="21">
        <f t="shared" si="67"/>
        <v>513.79999999999995</v>
      </c>
      <c r="W403" s="21">
        <f>+Tabla4[[#This Row],[9KWA]]*350</f>
        <v>489.99999999999994</v>
      </c>
      <c r="X403" s="21">
        <f>350*Tabla4[[#This Row],[Max Factor Medido]]</f>
        <v>530.6</v>
      </c>
      <c r="Y403" s="39">
        <v>0.94</v>
      </c>
      <c r="Z403" s="3">
        <f t="shared" si="68"/>
        <v>2026</v>
      </c>
      <c r="AA403" s="21">
        <f>+MEDIAN(Tabla4[[#This Row],[kwreal 6]:[kwreal 9]])</f>
        <v>514.15</v>
      </c>
      <c r="AB403" s="21">
        <f>+Tabla4[[#This Row],[LineaBase-FD]]/350</f>
        <v>1.4689999999999999</v>
      </c>
    </row>
    <row r="404" spans="1:28" x14ac:dyDescent="0.3">
      <c r="A404" s="63">
        <v>5534</v>
      </c>
      <c r="B404" s="63">
        <v>1662</v>
      </c>
      <c r="C404" s="63">
        <v>653</v>
      </c>
      <c r="D404" s="63">
        <v>2929</v>
      </c>
      <c r="E404" s="63">
        <v>290</v>
      </c>
      <c r="F404" s="82">
        <v>1.516</v>
      </c>
      <c r="G404" s="82">
        <v>1.47</v>
      </c>
      <c r="H404" s="82">
        <v>1.468</v>
      </c>
      <c r="I404" s="82">
        <v>1.4019999999999999</v>
      </c>
      <c r="J404" s="63">
        <v>753</v>
      </c>
      <c r="K404" s="56">
        <v>0.25</v>
      </c>
      <c r="L404" s="59">
        <v>46062</v>
      </c>
      <c r="M404" s="63">
        <v>0.97</v>
      </c>
      <c r="N404" s="68">
        <v>1.212</v>
      </c>
      <c r="O404" s="22">
        <f>+MAX(Tabla4[[#This Row],[6KWA]:[9KWA]])</f>
        <v>1.516</v>
      </c>
      <c r="P404" s="3">
        <f t="shared" si="62"/>
        <v>9</v>
      </c>
      <c r="Q404" s="3">
        <f t="shared" si="63"/>
        <v>2</v>
      </c>
      <c r="R404" s="3">
        <f t="shared" si="60"/>
        <v>7</v>
      </c>
      <c r="S404" s="3" t="str">
        <f t="shared" si="64"/>
        <v>febrero</v>
      </c>
      <c r="T404" s="21">
        <f t="shared" si="65"/>
        <v>530.6</v>
      </c>
      <c r="U404" s="21">
        <f t="shared" si="66"/>
        <v>514.5</v>
      </c>
      <c r="V404" s="21">
        <f t="shared" si="67"/>
        <v>513.79999999999995</v>
      </c>
      <c r="W404" s="21">
        <f>+Tabla4[[#This Row],[9KWA]]*350</f>
        <v>490.7</v>
      </c>
      <c r="X404" s="21">
        <f>350*Tabla4[[#This Row],[Max Factor Medido]]</f>
        <v>530.6</v>
      </c>
      <c r="Y404" s="39">
        <v>0.94</v>
      </c>
      <c r="Z404" s="3">
        <f t="shared" si="68"/>
        <v>2026</v>
      </c>
      <c r="AA404" s="21">
        <f>+MEDIAN(Tabla4[[#This Row],[kwreal 6]:[kwreal 9]])</f>
        <v>514.15</v>
      </c>
      <c r="AB404" s="21">
        <f>+Tabla4[[#This Row],[LineaBase-FD]]/350</f>
        <v>1.4689999999999999</v>
      </c>
    </row>
    <row r="405" spans="1:28" x14ac:dyDescent="0.3">
      <c r="A405" s="63">
        <v>5567</v>
      </c>
      <c r="B405" s="63">
        <v>1675</v>
      </c>
      <c r="C405" s="63">
        <v>659</v>
      </c>
      <c r="D405" s="63">
        <v>2941</v>
      </c>
      <c r="E405" s="63">
        <v>290</v>
      </c>
      <c r="F405" s="82">
        <v>1.516</v>
      </c>
      <c r="G405" s="82">
        <v>1.47</v>
      </c>
      <c r="H405" s="82">
        <v>1.468</v>
      </c>
      <c r="I405" s="82">
        <v>1.4019999999999999</v>
      </c>
      <c r="J405" s="63">
        <v>753</v>
      </c>
      <c r="K405" s="56">
        <v>0.25277777777777777</v>
      </c>
      <c r="L405" s="59">
        <v>46063</v>
      </c>
      <c r="M405" s="63">
        <v>0.98</v>
      </c>
      <c r="N405" s="68">
        <v>1.2749999999999999</v>
      </c>
      <c r="O405" s="22">
        <f>+MAX(Tabla4[[#This Row],[6KWA]:[9KWA]])</f>
        <v>1.516</v>
      </c>
      <c r="P405" s="3">
        <f t="shared" si="62"/>
        <v>10</v>
      </c>
      <c r="Q405" s="3">
        <f t="shared" si="63"/>
        <v>2</v>
      </c>
      <c r="R405" s="3">
        <f t="shared" si="60"/>
        <v>7</v>
      </c>
      <c r="S405" s="3" t="str">
        <f t="shared" si="64"/>
        <v>febrero</v>
      </c>
      <c r="T405" s="21">
        <f t="shared" si="65"/>
        <v>530.6</v>
      </c>
      <c r="U405" s="21">
        <f t="shared" si="66"/>
        <v>514.5</v>
      </c>
      <c r="V405" s="21">
        <f t="shared" si="67"/>
        <v>513.79999999999995</v>
      </c>
      <c r="W405" s="21">
        <f>+Tabla4[[#This Row],[9KWA]]*350</f>
        <v>490.7</v>
      </c>
      <c r="X405" s="21">
        <f>350*Tabla4[[#This Row],[Max Factor Medido]]</f>
        <v>530.6</v>
      </c>
      <c r="Y405" s="39">
        <v>0.94</v>
      </c>
      <c r="Z405" s="3">
        <f t="shared" si="68"/>
        <v>2026</v>
      </c>
      <c r="AA405" s="21">
        <f>+MEDIAN(Tabla4[[#This Row],[kwreal 6]:[kwreal 9]])</f>
        <v>514.15</v>
      </c>
      <c r="AB405" s="21">
        <f>+Tabla4[[#This Row],[LineaBase-FD]]/350</f>
        <v>1.4689999999999999</v>
      </c>
    </row>
    <row r="406" spans="1:28" x14ac:dyDescent="0.3">
      <c r="A406" s="63">
        <v>5597</v>
      </c>
      <c r="B406" s="63">
        <v>1688</v>
      </c>
      <c r="C406" s="63">
        <v>664</v>
      </c>
      <c r="D406" s="63">
        <v>2952</v>
      </c>
      <c r="E406" s="63">
        <v>290</v>
      </c>
      <c r="F406" s="82">
        <v>1.516</v>
      </c>
      <c r="G406" s="82">
        <v>1.47</v>
      </c>
      <c r="H406" s="82">
        <v>1.468</v>
      </c>
      <c r="I406" s="82">
        <v>1.4019999999999999</v>
      </c>
      <c r="J406" s="63">
        <v>761</v>
      </c>
      <c r="K406" s="56">
        <v>0.25</v>
      </c>
      <c r="L406" s="59">
        <v>46064</v>
      </c>
      <c r="M406" s="63">
        <v>0.99</v>
      </c>
      <c r="N406" s="68">
        <v>1.077</v>
      </c>
      <c r="O406" s="22">
        <f>+MAX(Tabla4[[#This Row],[6KWA]:[9KWA]])</f>
        <v>1.516</v>
      </c>
      <c r="P406" s="3">
        <f t="shared" si="62"/>
        <v>11</v>
      </c>
      <c r="Q406" s="3">
        <f t="shared" si="63"/>
        <v>2</v>
      </c>
      <c r="R406" s="3">
        <f t="shared" si="60"/>
        <v>7</v>
      </c>
      <c r="S406" s="3" t="str">
        <f t="shared" si="64"/>
        <v>febrero</v>
      </c>
      <c r="T406" s="21">
        <f t="shared" si="65"/>
        <v>530.6</v>
      </c>
      <c r="U406" s="21">
        <f t="shared" si="66"/>
        <v>514.5</v>
      </c>
      <c r="V406" s="21">
        <f t="shared" si="67"/>
        <v>513.79999999999995</v>
      </c>
      <c r="W406" s="21">
        <f>+Tabla4[[#This Row],[9KWA]]*350</f>
        <v>490.7</v>
      </c>
      <c r="X406" s="21">
        <f>350*Tabla4[[#This Row],[Max Factor Medido]]</f>
        <v>530.6</v>
      </c>
      <c r="Y406" s="39">
        <v>0.94</v>
      </c>
      <c r="Z406" s="3">
        <f t="shared" si="68"/>
        <v>2026</v>
      </c>
      <c r="AA406" s="21">
        <f>+MEDIAN(Tabla4[[#This Row],[kwreal 6]:[kwreal 9]])</f>
        <v>514.15</v>
      </c>
      <c r="AB406" s="21">
        <f>+Tabla4[[#This Row],[LineaBase-FD]]/350</f>
        <v>1.4689999999999999</v>
      </c>
    </row>
    <row r="407" spans="1:28" x14ac:dyDescent="0.3">
      <c r="A407" s="63">
        <v>5627</v>
      </c>
      <c r="B407" s="63">
        <v>1701</v>
      </c>
      <c r="C407" s="63">
        <v>669</v>
      </c>
      <c r="D407" s="63">
        <v>2965</v>
      </c>
      <c r="E407" s="63">
        <v>290</v>
      </c>
      <c r="F407" s="82">
        <v>1.5329999999999999</v>
      </c>
      <c r="G407" s="82">
        <v>1.47</v>
      </c>
      <c r="H407" s="82">
        <v>1.468</v>
      </c>
      <c r="I407" s="82">
        <v>1.4019999999999999</v>
      </c>
      <c r="J407" s="63">
        <v>765</v>
      </c>
      <c r="K407" s="56">
        <v>0.25</v>
      </c>
      <c r="L407" s="59">
        <v>46065</v>
      </c>
      <c r="M407" s="63">
        <v>0.99</v>
      </c>
      <c r="N407" s="68">
        <v>1.175</v>
      </c>
      <c r="O407" s="22">
        <f>+MAX(Tabla4[[#This Row],[6KWA]:[9KWA]])</f>
        <v>1.5329999999999999</v>
      </c>
      <c r="P407" s="3">
        <f t="shared" si="62"/>
        <v>12</v>
      </c>
      <c r="Q407" s="3">
        <f t="shared" si="63"/>
        <v>2</v>
      </c>
      <c r="R407" s="3">
        <f t="shared" si="60"/>
        <v>7</v>
      </c>
      <c r="S407" s="3" t="str">
        <f t="shared" si="64"/>
        <v>febrero</v>
      </c>
      <c r="T407" s="21">
        <f t="shared" si="65"/>
        <v>536.54999999999995</v>
      </c>
      <c r="U407" s="21">
        <f t="shared" si="66"/>
        <v>514.5</v>
      </c>
      <c r="V407" s="21">
        <f t="shared" si="67"/>
        <v>513.79999999999995</v>
      </c>
      <c r="W407" s="21">
        <f>+Tabla4[[#This Row],[9KWA]]*350</f>
        <v>490.7</v>
      </c>
      <c r="X407" s="21">
        <f>350*Tabla4[[#This Row],[Max Factor Medido]]</f>
        <v>536.54999999999995</v>
      </c>
      <c r="Y407" s="39">
        <v>0.94</v>
      </c>
      <c r="Z407" s="3">
        <f t="shared" si="68"/>
        <v>2026</v>
      </c>
      <c r="AA407" s="21">
        <f>+MEDIAN(Tabla4[[#This Row],[kwreal 6]:[kwreal 9]])</f>
        <v>514.15</v>
      </c>
      <c r="AB407" s="21">
        <f>+Tabla4[[#This Row],[LineaBase-FD]]/350</f>
        <v>1.4689999999999999</v>
      </c>
    </row>
    <row r="408" spans="1:28" x14ac:dyDescent="0.3">
      <c r="A408" s="63">
        <v>5657</v>
      </c>
      <c r="B408" s="63">
        <v>1714</v>
      </c>
      <c r="C408" s="63">
        <v>674</v>
      </c>
      <c r="D408" s="63">
        <v>2977</v>
      </c>
      <c r="E408" s="63">
        <v>290</v>
      </c>
      <c r="F408" s="82">
        <v>1.5329999999999999</v>
      </c>
      <c r="G408" s="82">
        <v>1.476</v>
      </c>
      <c r="H408" s="82">
        <v>1.468</v>
      </c>
      <c r="I408" s="82">
        <v>1.4019999999999999</v>
      </c>
      <c r="J408" s="63">
        <v>768</v>
      </c>
      <c r="K408" s="56">
        <v>0.25</v>
      </c>
      <c r="L408" s="59">
        <v>46066</v>
      </c>
      <c r="M408" s="63">
        <v>0.99</v>
      </c>
      <c r="N408" s="68">
        <v>1.21</v>
      </c>
      <c r="O408" s="22">
        <f>+MAX(Tabla4[[#This Row],[6KWA]:[9KWA]])</f>
        <v>1.5329999999999999</v>
      </c>
      <c r="P408" s="3">
        <f t="shared" si="62"/>
        <v>13</v>
      </c>
      <c r="Q408" s="3">
        <f t="shared" si="63"/>
        <v>2</v>
      </c>
      <c r="R408" s="3">
        <f t="shared" si="60"/>
        <v>7</v>
      </c>
      <c r="S408" s="3" t="str">
        <f t="shared" si="64"/>
        <v>febrero</v>
      </c>
      <c r="T408" s="21">
        <f t="shared" si="65"/>
        <v>536.54999999999995</v>
      </c>
      <c r="U408" s="21">
        <f t="shared" si="66"/>
        <v>516.6</v>
      </c>
      <c r="V408" s="21">
        <f t="shared" si="67"/>
        <v>513.79999999999995</v>
      </c>
      <c r="W408" s="21">
        <f>+Tabla4[[#This Row],[9KWA]]*350</f>
        <v>490.7</v>
      </c>
      <c r="X408" s="21">
        <f>350*Tabla4[[#This Row],[Max Factor Medido]]</f>
        <v>536.54999999999995</v>
      </c>
      <c r="Y408" s="39">
        <v>0.94</v>
      </c>
      <c r="Z408" s="3">
        <f t="shared" si="68"/>
        <v>2026</v>
      </c>
      <c r="AA408" s="21">
        <f>+MEDIAN(Tabla4[[#This Row],[kwreal 6]:[kwreal 9]])</f>
        <v>515.20000000000005</v>
      </c>
      <c r="AB408" s="21">
        <f>+Tabla4[[#This Row],[LineaBase-FD]]/350</f>
        <v>1.4720000000000002</v>
      </c>
    </row>
    <row r="409" spans="1:28" x14ac:dyDescent="0.3">
      <c r="A409" s="63">
        <v>5687</v>
      </c>
      <c r="B409" s="63">
        <v>1727</v>
      </c>
      <c r="C409" s="63">
        <v>679</v>
      </c>
      <c r="D409" s="63">
        <v>2985</v>
      </c>
      <c r="E409" s="63">
        <v>290</v>
      </c>
      <c r="F409" s="82">
        <v>1.5329999999999999</v>
      </c>
      <c r="G409" s="82">
        <v>1.476</v>
      </c>
      <c r="H409" s="82">
        <v>1.5</v>
      </c>
      <c r="I409" s="82">
        <v>1.4019999999999999</v>
      </c>
      <c r="J409" s="63">
        <v>772</v>
      </c>
      <c r="K409" s="56">
        <v>0.24861111111111112</v>
      </c>
      <c r="L409" s="59">
        <v>46067</v>
      </c>
      <c r="M409" s="63">
        <v>0.99</v>
      </c>
      <c r="N409" s="68">
        <v>1.1859999999999999</v>
      </c>
      <c r="O409" s="22">
        <f>+MAX(Tabla4[[#This Row],[6KWA]:[9KWA]])</f>
        <v>1.5329999999999999</v>
      </c>
      <c r="P409" s="3">
        <f t="shared" si="62"/>
        <v>14</v>
      </c>
      <c r="Q409" s="3">
        <f t="shared" si="63"/>
        <v>2</v>
      </c>
      <c r="R409" s="3">
        <f t="shared" si="60"/>
        <v>7</v>
      </c>
      <c r="S409" s="3" t="str">
        <f t="shared" si="64"/>
        <v>febrero</v>
      </c>
      <c r="T409" s="21">
        <f t="shared" si="65"/>
        <v>536.54999999999995</v>
      </c>
      <c r="U409" s="21">
        <f t="shared" si="66"/>
        <v>516.6</v>
      </c>
      <c r="V409" s="21">
        <f t="shared" si="67"/>
        <v>525</v>
      </c>
      <c r="W409" s="21">
        <f>+Tabla4[[#This Row],[9KWA]]*350</f>
        <v>490.7</v>
      </c>
      <c r="X409" s="21">
        <f>350*Tabla4[[#This Row],[Max Factor Medido]]</f>
        <v>536.54999999999995</v>
      </c>
      <c r="Y409" s="39">
        <v>0.94</v>
      </c>
      <c r="Z409" s="3">
        <f t="shared" si="68"/>
        <v>2026</v>
      </c>
      <c r="AA409" s="21">
        <f>+MEDIAN(Tabla4[[#This Row],[kwreal 6]:[kwreal 9]])</f>
        <v>520.79999999999995</v>
      </c>
      <c r="AB409" s="21">
        <f>+Tabla4[[#This Row],[LineaBase-FD]]/350</f>
        <v>1.4879999999999998</v>
      </c>
    </row>
    <row r="410" spans="1:28" x14ac:dyDescent="0.3">
      <c r="A410" s="63">
        <v>5719</v>
      </c>
      <c r="B410" s="63">
        <v>1727</v>
      </c>
      <c r="C410" s="63">
        <v>679</v>
      </c>
      <c r="D410" s="63">
        <v>3015</v>
      </c>
      <c r="E410" s="63">
        <v>296</v>
      </c>
      <c r="F410" s="82">
        <v>1.5329999999999999</v>
      </c>
      <c r="G410" s="82">
        <v>1.476</v>
      </c>
      <c r="H410" s="82">
        <v>1.5840000000000001</v>
      </c>
      <c r="I410" s="82">
        <v>1.4019999999999999</v>
      </c>
      <c r="J410" s="63">
        <v>776</v>
      </c>
      <c r="K410" s="56">
        <v>0.24930555555555556</v>
      </c>
      <c r="L410" s="59">
        <v>46068</v>
      </c>
      <c r="M410" s="63">
        <v>0.98</v>
      </c>
      <c r="N410" s="68">
        <v>1.052</v>
      </c>
      <c r="O410" s="22">
        <f>+MAX(Tabla4[[#This Row],[6KWA]:[9KWA]])</f>
        <v>1.5840000000000001</v>
      </c>
      <c r="P410" s="3">
        <f t="shared" si="62"/>
        <v>15</v>
      </c>
      <c r="Q410" s="3">
        <f t="shared" si="63"/>
        <v>2</v>
      </c>
      <c r="R410" s="3">
        <f t="shared" si="60"/>
        <v>8</v>
      </c>
      <c r="S410" s="3" t="str">
        <f t="shared" si="64"/>
        <v>febrero</v>
      </c>
      <c r="T410" s="21">
        <f t="shared" si="65"/>
        <v>536.54999999999995</v>
      </c>
      <c r="U410" s="21">
        <f t="shared" si="66"/>
        <v>516.6</v>
      </c>
      <c r="V410" s="21">
        <f t="shared" si="67"/>
        <v>554.4</v>
      </c>
      <c r="W410" s="21">
        <f>+Tabla4[[#This Row],[9KWA]]*350</f>
        <v>490.7</v>
      </c>
      <c r="X410" s="21">
        <f>350*Tabla4[[#This Row],[Max Factor Medido]]</f>
        <v>554.4</v>
      </c>
      <c r="Y410" s="39">
        <v>0.94</v>
      </c>
      <c r="Z410" s="3">
        <f t="shared" si="68"/>
        <v>2026</v>
      </c>
      <c r="AA410" s="21">
        <f>+MEDIAN(Tabla4[[#This Row],[kwreal 6]:[kwreal 9]])</f>
        <v>526.57500000000005</v>
      </c>
      <c r="AB410" s="21">
        <f>+Tabla4[[#This Row],[LineaBase-FD]]/350</f>
        <v>1.5045000000000002</v>
      </c>
    </row>
    <row r="411" spans="1:28" x14ac:dyDescent="0.3">
      <c r="A411" s="63">
        <v>5749</v>
      </c>
      <c r="B411" s="63">
        <v>1727</v>
      </c>
      <c r="C411" s="63">
        <v>679</v>
      </c>
      <c r="D411" s="63">
        <v>3040</v>
      </c>
      <c r="E411" s="63">
        <v>301</v>
      </c>
      <c r="F411" s="82">
        <v>1.5329999999999999</v>
      </c>
      <c r="G411" s="82">
        <v>1.476</v>
      </c>
      <c r="H411" s="82">
        <v>1.5840000000000001</v>
      </c>
      <c r="I411" s="82">
        <v>1.4019999999999999</v>
      </c>
      <c r="J411" s="63">
        <v>780</v>
      </c>
      <c r="K411" s="56">
        <v>0.24930555555555556</v>
      </c>
      <c r="L411" s="59">
        <v>46069</v>
      </c>
      <c r="M411" s="63">
        <v>0.98</v>
      </c>
      <c r="N411" s="68">
        <v>1.161</v>
      </c>
      <c r="O411" s="22">
        <f>+MAX(Tabla4[[#This Row],[6KWA]:[9KWA]])</f>
        <v>1.5840000000000001</v>
      </c>
      <c r="P411" s="3">
        <f t="shared" si="62"/>
        <v>16</v>
      </c>
      <c r="Q411" s="3">
        <f t="shared" si="63"/>
        <v>2</v>
      </c>
      <c r="R411" s="3">
        <f t="shared" si="60"/>
        <v>8</v>
      </c>
      <c r="S411" s="2" t="str">
        <f t="shared" si="64"/>
        <v>febrero</v>
      </c>
      <c r="T411" s="21">
        <f t="shared" si="65"/>
        <v>536.54999999999995</v>
      </c>
      <c r="U411" s="21">
        <f t="shared" si="66"/>
        <v>516.6</v>
      </c>
      <c r="V411" s="21">
        <f t="shared" si="67"/>
        <v>554.4</v>
      </c>
      <c r="W411" s="21">
        <f>+Tabla4[[#This Row],[9KWA]]*350</f>
        <v>490.7</v>
      </c>
      <c r="X411" s="21">
        <f>350*Tabla4[[#This Row],[Max Factor Medido]]</f>
        <v>554.4</v>
      </c>
      <c r="Y411" s="39">
        <v>0.94</v>
      </c>
      <c r="Z411" s="3">
        <f t="shared" si="68"/>
        <v>2026</v>
      </c>
      <c r="AA411" s="21">
        <f>+MEDIAN(Tabla4[[#This Row],[kwreal 6]:[kwreal 9]])</f>
        <v>526.57500000000005</v>
      </c>
      <c r="AB411" s="21">
        <f>+Tabla4[[#This Row],[LineaBase-FD]]/350</f>
        <v>1.5045000000000002</v>
      </c>
    </row>
    <row r="412" spans="1:28" x14ac:dyDescent="0.3">
      <c r="A412" s="63">
        <v>5779</v>
      </c>
      <c r="B412" s="63">
        <v>1740</v>
      </c>
      <c r="C412" s="63">
        <v>684</v>
      </c>
      <c r="D412" s="63">
        <v>3052</v>
      </c>
      <c r="E412" s="63">
        <v>301</v>
      </c>
      <c r="F412" s="82">
        <v>1.5329999999999999</v>
      </c>
      <c r="G412" s="82">
        <v>1.476</v>
      </c>
      <c r="H412" s="82">
        <v>1.5840000000000001</v>
      </c>
      <c r="I412" s="82">
        <v>1.4019999999999999</v>
      </c>
      <c r="J412" s="63">
        <v>784</v>
      </c>
      <c r="K412" s="56">
        <v>0.25347222222222221</v>
      </c>
      <c r="L412" s="59">
        <v>46070</v>
      </c>
      <c r="M412" s="63">
        <v>0.98</v>
      </c>
      <c r="N412" s="68">
        <v>1.3280000000000001</v>
      </c>
      <c r="O412" s="22">
        <f>+MAX(Tabla4[[#This Row],[6KWA]:[9KWA]])</f>
        <v>1.5840000000000001</v>
      </c>
      <c r="P412" s="3">
        <f t="shared" si="62"/>
        <v>17</v>
      </c>
      <c r="Q412" s="3">
        <f t="shared" si="63"/>
        <v>2</v>
      </c>
      <c r="R412" s="3">
        <f t="shared" si="60"/>
        <v>8</v>
      </c>
      <c r="S412" s="2" t="str">
        <f t="shared" si="64"/>
        <v>febrero</v>
      </c>
      <c r="T412" s="21">
        <f t="shared" si="65"/>
        <v>536.54999999999995</v>
      </c>
      <c r="U412" s="21">
        <f t="shared" si="66"/>
        <v>516.6</v>
      </c>
      <c r="V412" s="21">
        <f t="shared" si="67"/>
        <v>554.4</v>
      </c>
      <c r="W412" s="21">
        <f>+Tabla4[[#This Row],[9KWA]]*350</f>
        <v>490.7</v>
      </c>
      <c r="X412" s="21">
        <f>350*Tabla4[[#This Row],[Max Factor Medido]]</f>
        <v>554.4</v>
      </c>
      <c r="Y412" s="39">
        <v>0.94</v>
      </c>
      <c r="Z412" s="3">
        <f t="shared" si="68"/>
        <v>2026</v>
      </c>
      <c r="AA412" s="21">
        <f>+MEDIAN(Tabla4[[#This Row],[kwreal 6]:[kwreal 9]])</f>
        <v>526.57500000000005</v>
      </c>
      <c r="AB412" s="39">
        <f>+Tabla4[[#This Row],[LineaBase-FD]]/350</f>
        <v>1.5045000000000002</v>
      </c>
    </row>
    <row r="413" spans="1:28" x14ac:dyDescent="0.3">
      <c r="A413" s="63">
        <v>5809</v>
      </c>
      <c r="B413" s="63">
        <v>1753</v>
      </c>
      <c r="C413" s="63">
        <v>689</v>
      </c>
      <c r="D413" s="63">
        <v>3064</v>
      </c>
      <c r="E413" s="63">
        <v>301</v>
      </c>
      <c r="F413" s="82">
        <v>1.556</v>
      </c>
      <c r="G413" s="82">
        <v>1.476</v>
      </c>
      <c r="H413" s="82">
        <v>1.5840000000000001</v>
      </c>
      <c r="I413" s="82">
        <v>1.4019999999999999</v>
      </c>
      <c r="J413" s="63">
        <v>788</v>
      </c>
      <c r="K413" s="56">
        <v>0.26111111111111113</v>
      </c>
      <c r="L413" s="59">
        <v>46071</v>
      </c>
      <c r="M413" s="63">
        <v>0.98</v>
      </c>
      <c r="N413" s="68">
        <v>1.177</v>
      </c>
      <c r="O413" s="22">
        <f>+MAX(Tabla4[[#This Row],[6KWA]:[9KWA]])</f>
        <v>1.5840000000000001</v>
      </c>
      <c r="P413" s="3">
        <f t="shared" ref="P413:P420" si="69">+DAY(L413)</f>
        <v>18</v>
      </c>
      <c r="Q413" s="3">
        <f t="shared" ref="Q413:Q420" si="70">+MONTH(L413)</f>
        <v>2</v>
      </c>
      <c r="R413" s="3">
        <f t="shared" si="60"/>
        <v>8</v>
      </c>
      <c r="S413" s="2" t="str">
        <f t="shared" ref="S413:S420" si="71">TEXT(L413,"mmmm")</f>
        <v>febrero</v>
      </c>
      <c r="T413" s="21">
        <f t="shared" ref="T413:T420" si="72">350*F413</f>
        <v>544.6</v>
      </c>
      <c r="U413" s="21">
        <f t="shared" ref="U413:U420" si="73">350*G413</f>
        <v>516.6</v>
      </c>
      <c r="V413" s="21">
        <f t="shared" ref="V413:V420" si="74">350*H413</f>
        <v>554.4</v>
      </c>
      <c r="W413" s="21">
        <f>+Tabla4[[#This Row],[9KWA]]*350</f>
        <v>490.7</v>
      </c>
      <c r="X413" s="21">
        <f>350*Tabla4[[#This Row],[Max Factor Medido]]</f>
        <v>554.4</v>
      </c>
      <c r="Y413" s="39">
        <v>0.94</v>
      </c>
      <c r="Z413" s="3">
        <f t="shared" ref="Z413:Z420" si="75">+YEAR(L413)</f>
        <v>2026</v>
      </c>
      <c r="AA413" s="21">
        <f>+MEDIAN(Tabla4[[#This Row],[kwreal 6]:[kwreal 9]])</f>
        <v>530.6</v>
      </c>
      <c r="AB413" s="39">
        <f>+Tabla4[[#This Row],[LineaBase-FD]]/350</f>
        <v>1.516</v>
      </c>
    </row>
    <row r="414" spans="1:28" x14ac:dyDescent="0.3">
      <c r="A414" s="63">
        <v>5839</v>
      </c>
      <c r="B414" s="63">
        <v>1766</v>
      </c>
      <c r="C414" s="63">
        <v>694</v>
      </c>
      <c r="D414" s="63">
        <v>3076</v>
      </c>
      <c r="E414" s="63">
        <v>301</v>
      </c>
      <c r="F414" s="82">
        <v>1.556</v>
      </c>
      <c r="G414" s="82">
        <v>1.476</v>
      </c>
      <c r="H414" s="82">
        <v>1.5840000000000001</v>
      </c>
      <c r="I414" s="82">
        <v>1.4019999999999999</v>
      </c>
      <c r="J414" s="63">
        <v>793</v>
      </c>
      <c r="K414" s="56">
        <v>0.25</v>
      </c>
      <c r="L414" s="59">
        <v>46072</v>
      </c>
      <c r="M414" s="63">
        <v>0.98</v>
      </c>
      <c r="N414" s="68">
        <v>1.3620000000000001</v>
      </c>
      <c r="O414" s="22">
        <f>+MAX(Tabla4[[#This Row],[6KWA]:[9KWA]])</f>
        <v>1.5840000000000001</v>
      </c>
      <c r="P414" s="3">
        <f t="shared" si="69"/>
        <v>19</v>
      </c>
      <c r="Q414" s="3">
        <f t="shared" si="70"/>
        <v>2</v>
      </c>
      <c r="R414" s="3">
        <f t="shared" si="60"/>
        <v>8</v>
      </c>
      <c r="S414" s="2" t="str">
        <f t="shared" si="71"/>
        <v>febrero</v>
      </c>
      <c r="T414" s="21">
        <f t="shared" si="72"/>
        <v>544.6</v>
      </c>
      <c r="U414" s="21">
        <f t="shared" si="73"/>
        <v>516.6</v>
      </c>
      <c r="V414" s="21">
        <f t="shared" si="74"/>
        <v>554.4</v>
      </c>
      <c r="W414" s="21">
        <f>+Tabla4[[#This Row],[9KWA]]*350</f>
        <v>490.7</v>
      </c>
      <c r="X414" s="21">
        <f>350*Tabla4[[#This Row],[Max Factor Medido]]</f>
        <v>554.4</v>
      </c>
      <c r="Y414" s="39">
        <v>0.94</v>
      </c>
      <c r="Z414" s="3">
        <f t="shared" si="75"/>
        <v>2026</v>
      </c>
      <c r="AA414" s="21">
        <f>+MEDIAN(Tabla4[[#This Row],[kwreal 6]:[kwreal 9]])</f>
        <v>530.6</v>
      </c>
      <c r="AB414" s="39">
        <f>+Tabla4[[#This Row],[LineaBase-FD]]/350</f>
        <v>1.516</v>
      </c>
    </row>
    <row r="415" spans="1:28" x14ac:dyDescent="0.3">
      <c r="A415" s="63">
        <v>5869</v>
      </c>
      <c r="B415" s="63">
        <v>1780</v>
      </c>
      <c r="C415" s="63">
        <v>699</v>
      </c>
      <c r="D415" s="63">
        <v>3088</v>
      </c>
      <c r="E415" s="63">
        <v>301</v>
      </c>
      <c r="F415" s="82">
        <v>1.556</v>
      </c>
      <c r="G415" s="82">
        <v>1.476</v>
      </c>
      <c r="H415" s="82">
        <v>1.5840000000000001</v>
      </c>
      <c r="I415" s="82">
        <v>1.4019999999999999</v>
      </c>
      <c r="J415" s="63">
        <v>797</v>
      </c>
      <c r="K415" s="56">
        <v>0.24305555555555555</v>
      </c>
      <c r="L415" s="59">
        <v>46073</v>
      </c>
      <c r="M415" s="63">
        <v>0.98</v>
      </c>
      <c r="N415" s="68">
        <v>1.22</v>
      </c>
      <c r="O415" s="22">
        <f>+MAX(Tabla4[[#This Row],[6KWA]:[9KWA]])</f>
        <v>1.5840000000000001</v>
      </c>
      <c r="P415" s="3">
        <f t="shared" si="69"/>
        <v>20</v>
      </c>
      <c r="Q415" s="3">
        <f t="shared" si="70"/>
        <v>2</v>
      </c>
      <c r="R415" s="3">
        <f t="shared" si="60"/>
        <v>8</v>
      </c>
      <c r="S415" s="2" t="str">
        <f t="shared" si="71"/>
        <v>febrero</v>
      </c>
      <c r="T415" s="21">
        <f t="shared" si="72"/>
        <v>544.6</v>
      </c>
      <c r="U415" s="21">
        <f t="shared" si="73"/>
        <v>516.6</v>
      </c>
      <c r="V415" s="21">
        <f t="shared" si="74"/>
        <v>554.4</v>
      </c>
      <c r="W415" s="21">
        <f>+Tabla4[[#This Row],[9KWA]]*350</f>
        <v>490.7</v>
      </c>
      <c r="X415" s="21">
        <f>350*Tabla4[[#This Row],[Max Factor Medido]]</f>
        <v>554.4</v>
      </c>
      <c r="Y415" s="39">
        <v>0.94</v>
      </c>
      <c r="Z415" s="3">
        <f t="shared" si="75"/>
        <v>2026</v>
      </c>
      <c r="AA415" s="21">
        <f>+MEDIAN(Tabla4[[#This Row],[kwreal 6]:[kwreal 9]])</f>
        <v>530.6</v>
      </c>
      <c r="AB415" s="39">
        <f>+Tabla4[[#This Row],[LineaBase-FD]]/350</f>
        <v>1.516</v>
      </c>
    </row>
    <row r="416" spans="1:28" x14ac:dyDescent="0.3">
      <c r="A416" s="63">
        <v>5900</v>
      </c>
      <c r="B416" s="63">
        <v>1793</v>
      </c>
      <c r="C416" s="63">
        <v>705</v>
      </c>
      <c r="D416" s="63">
        <v>3101</v>
      </c>
      <c r="E416" s="63">
        <v>301</v>
      </c>
      <c r="F416" s="82">
        <v>1.556</v>
      </c>
      <c r="G416" s="82">
        <v>1.476</v>
      </c>
      <c r="H416" s="82">
        <v>1.5840000000000001</v>
      </c>
      <c r="I416" s="82">
        <v>1.4019999999999999</v>
      </c>
      <c r="J416" s="63">
        <v>801</v>
      </c>
      <c r="K416" s="56">
        <v>0.25069444444444444</v>
      </c>
      <c r="L416" s="59">
        <v>46074</v>
      </c>
      <c r="M416" s="63">
        <v>0.98</v>
      </c>
      <c r="N416" s="68">
        <v>1.06</v>
      </c>
      <c r="O416" s="22">
        <f>+MAX(Tabla4[[#This Row],[6KWA]:[9KWA]])</f>
        <v>1.5840000000000001</v>
      </c>
      <c r="P416" s="3">
        <f t="shared" si="69"/>
        <v>21</v>
      </c>
      <c r="Q416" s="3">
        <f t="shared" si="70"/>
        <v>2</v>
      </c>
      <c r="R416" s="3">
        <f t="shared" si="60"/>
        <v>8</v>
      </c>
      <c r="S416" s="2" t="str">
        <f t="shared" si="71"/>
        <v>febrero</v>
      </c>
      <c r="T416" s="21">
        <f t="shared" si="72"/>
        <v>544.6</v>
      </c>
      <c r="U416" s="21">
        <f t="shared" si="73"/>
        <v>516.6</v>
      </c>
      <c r="V416" s="21">
        <f t="shared" si="74"/>
        <v>554.4</v>
      </c>
      <c r="W416" s="21">
        <f>+Tabla4[[#This Row],[9KWA]]*350</f>
        <v>490.7</v>
      </c>
      <c r="X416" s="21">
        <f>350*Tabla4[[#This Row],[Max Factor Medido]]</f>
        <v>554.4</v>
      </c>
      <c r="Y416" s="39">
        <v>0.94</v>
      </c>
      <c r="Z416" s="3">
        <f t="shared" si="75"/>
        <v>2026</v>
      </c>
      <c r="AA416" s="21">
        <f>+MEDIAN(Tabla4[[#This Row],[kwreal 6]:[kwreal 9]])</f>
        <v>530.6</v>
      </c>
      <c r="AB416" s="39">
        <f>+Tabla4[[#This Row],[LineaBase-FD]]/350</f>
        <v>1.516</v>
      </c>
    </row>
    <row r="417" spans="1:28" x14ac:dyDescent="0.3">
      <c r="A417" s="63">
        <v>5932</v>
      </c>
      <c r="B417" s="63">
        <v>1793</v>
      </c>
      <c r="C417" s="63">
        <v>705</v>
      </c>
      <c r="D417" s="63">
        <v>3127</v>
      </c>
      <c r="E417" s="63">
        <v>306</v>
      </c>
      <c r="F417" s="82">
        <v>1.556</v>
      </c>
      <c r="G417" s="82">
        <v>1.476</v>
      </c>
      <c r="H417" s="82">
        <v>1.5840000000000001</v>
      </c>
      <c r="I417" s="82">
        <v>1.4019999999999999</v>
      </c>
      <c r="J417" s="63">
        <v>806</v>
      </c>
      <c r="K417" s="56">
        <v>0.25</v>
      </c>
      <c r="L417" s="59">
        <v>46075</v>
      </c>
      <c r="M417" s="63">
        <v>0.98</v>
      </c>
      <c r="N417" s="68">
        <v>1.2090000000000001</v>
      </c>
      <c r="O417" s="22">
        <f>+MAX(Tabla4[[#This Row],[6KWA]:[9KWA]])</f>
        <v>1.5840000000000001</v>
      </c>
      <c r="P417" s="3">
        <f t="shared" si="69"/>
        <v>22</v>
      </c>
      <c r="Q417" s="3">
        <f t="shared" si="70"/>
        <v>2</v>
      </c>
      <c r="R417" s="3">
        <f t="shared" si="60"/>
        <v>9</v>
      </c>
      <c r="S417" s="2" t="str">
        <f t="shared" si="71"/>
        <v>febrero</v>
      </c>
      <c r="T417" s="21">
        <f t="shared" si="72"/>
        <v>544.6</v>
      </c>
      <c r="U417" s="21">
        <f t="shared" si="73"/>
        <v>516.6</v>
      </c>
      <c r="V417" s="21">
        <f t="shared" si="74"/>
        <v>554.4</v>
      </c>
      <c r="W417" s="21">
        <f>+Tabla4[[#This Row],[9KWA]]*350</f>
        <v>490.7</v>
      </c>
      <c r="X417" s="21">
        <f>350*Tabla4[[#This Row],[Max Factor Medido]]</f>
        <v>554.4</v>
      </c>
      <c r="Y417" s="39">
        <v>0.94</v>
      </c>
      <c r="Z417" s="3">
        <f t="shared" si="75"/>
        <v>2026</v>
      </c>
      <c r="AA417" s="21">
        <f>+MEDIAN(Tabla4[[#This Row],[kwreal 6]:[kwreal 9]])</f>
        <v>530.6</v>
      </c>
      <c r="AB417" s="39">
        <f>+Tabla4[[#This Row],[LineaBase-FD]]/350</f>
        <v>1.516</v>
      </c>
    </row>
    <row r="418" spans="1:28" x14ac:dyDescent="0.3">
      <c r="A418" s="63">
        <v>5962</v>
      </c>
      <c r="B418" s="63">
        <v>1793</v>
      </c>
      <c r="C418" s="63">
        <v>705</v>
      </c>
      <c r="D418" s="63">
        <v>3152</v>
      </c>
      <c r="E418" s="63">
        <v>311</v>
      </c>
      <c r="F418" s="82">
        <v>1.556</v>
      </c>
      <c r="G418" s="82">
        <v>1.476</v>
      </c>
      <c r="H418" s="82">
        <v>1.5840000000000001</v>
      </c>
      <c r="I418" s="82">
        <v>1.4019999999999999</v>
      </c>
      <c r="J418" s="63">
        <v>810</v>
      </c>
      <c r="K418" s="56">
        <v>0.24652777777777779</v>
      </c>
      <c r="L418" s="59">
        <v>46076</v>
      </c>
      <c r="M418" s="63">
        <v>0.98</v>
      </c>
      <c r="N418" s="68">
        <v>1.2170000000000001</v>
      </c>
      <c r="O418" s="22">
        <f>+MAX(Tabla4[[#This Row],[6KWA]:[9KWA]])</f>
        <v>1.5840000000000001</v>
      </c>
      <c r="P418" s="3">
        <f t="shared" si="69"/>
        <v>23</v>
      </c>
      <c r="Q418" s="3">
        <f t="shared" si="70"/>
        <v>2</v>
      </c>
      <c r="R418" s="3">
        <f t="shared" si="60"/>
        <v>9</v>
      </c>
      <c r="S418" s="2" t="str">
        <f t="shared" si="71"/>
        <v>febrero</v>
      </c>
      <c r="T418" s="21">
        <f t="shared" si="72"/>
        <v>544.6</v>
      </c>
      <c r="U418" s="21">
        <f t="shared" si="73"/>
        <v>516.6</v>
      </c>
      <c r="V418" s="21">
        <f t="shared" si="74"/>
        <v>554.4</v>
      </c>
      <c r="W418" s="21">
        <f>+Tabla4[[#This Row],[9KWA]]*350</f>
        <v>490.7</v>
      </c>
      <c r="X418" s="21">
        <f>350*Tabla4[[#This Row],[Max Factor Medido]]</f>
        <v>554.4</v>
      </c>
      <c r="Y418" s="39">
        <v>0.94</v>
      </c>
      <c r="Z418" s="3">
        <f t="shared" si="75"/>
        <v>2026</v>
      </c>
      <c r="AA418" s="21">
        <f>+MEDIAN(Tabla4[[#This Row],[kwreal 6]:[kwreal 9]])</f>
        <v>530.6</v>
      </c>
      <c r="AB418" s="39">
        <f>+Tabla4[[#This Row],[LineaBase-FD]]/350</f>
        <v>1.516</v>
      </c>
    </row>
    <row r="419" spans="1:28" x14ac:dyDescent="0.3">
      <c r="A419" s="63">
        <v>5993</v>
      </c>
      <c r="B419" s="63">
        <v>1806</v>
      </c>
      <c r="C419" s="63">
        <v>710</v>
      </c>
      <c r="D419" s="63">
        <v>3165</v>
      </c>
      <c r="E419" s="63">
        <v>311</v>
      </c>
      <c r="F419" s="82">
        <v>1.556</v>
      </c>
      <c r="G419" s="82">
        <v>1.4850000000000001</v>
      </c>
      <c r="H419" s="82">
        <v>1.5840000000000001</v>
      </c>
      <c r="I419" s="82">
        <v>1.4019999999999999</v>
      </c>
      <c r="J419" s="63">
        <v>814</v>
      </c>
      <c r="K419" s="56">
        <v>0.25486111111111109</v>
      </c>
      <c r="L419" s="59">
        <v>46077</v>
      </c>
      <c r="M419" s="63">
        <v>0.99</v>
      </c>
      <c r="N419" s="68">
        <v>1.244</v>
      </c>
      <c r="O419" s="22">
        <f>+MAX(Tabla4[[#This Row],[6KWA]:[9KWA]])</f>
        <v>1.5840000000000001</v>
      </c>
      <c r="P419" s="3">
        <f t="shared" si="69"/>
        <v>24</v>
      </c>
      <c r="Q419" s="3">
        <f t="shared" si="70"/>
        <v>2</v>
      </c>
      <c r="R419" s="3">
        <f t="shared" si="60"/>
        <v>9</v>
      </c>
      <c r="S419" s="2" t="str">
        <f t="shared" si="71"/>
        <v>febrero</v>
      </c>
      <c r="T419" s="21">
        <f t="shared" si="72"/>
        <v>544.6</v>
      </c>
      <c r="U419" s="21">
        <f t="shared" si="73"/>
        <v>519.75</v>
      </c>
      <c r="V419" s="21">
        <f t="shared" si="74"/>
        <v>554.4</v>
      </c>
      <c r="W419" s="21">
        <f>+Tabla4[[#This Row],[9KWA]]*350</f>
        <v>490.7</v>
      </c>
      <c r="X419" s="21">
        <f>350*Tabla4[[#This Row],[Max Factor Medido]]</f>
        <v>554.4</v>
      </c>
      <c r="Y419" s="39">
        <v>0.94</v>
      </c>
      <c r="Z419" s="3">
        <f t="shared" si="75"/>
        <v>2026</v>
      </c>
      <c r="AA419" s="21">
        <f>+MEDIAN(Tabla4[[#This Row],[kwreal 6]:[kwreal 9]])</f>
        <v>532.17499999999995</v>
      </c>
      <c r="AB419" s="39">
        <f>+Tabla4[[#This Row],[LineaBase-FD]]/350</f>
        <v>1.5205</v>
      </c>
    </row>
    <row r="420" spans="1:28" x14ac:dyDescent="0.3">
      <c r="A420" s="63">
        <v>6025</v>
      </c>
      <c r="B420" s="63">
        <v>1819</v>
      </c>
      <c r="C420" s="63">
        <v>715</v>
      </c>
      <c r="D420" s="63">
        <v>3178</v>
      </c>
      <c r="E420" s="63">
        <v>311</v>
      </c>
      <c r="F420" s="82">
        <v>1.556</v>
      </c>
      <c r="G420" s="82">
        <v>1.4850000000000001</v>
      </c>
      <c r="H420" s="82">
        <v>1.5840000000000001</v>
      </c>
      <c r="I420" s="82">
        <v>1.4019999999999999</v>
      </c>
      <c r="J420" s="63">
        <v>818</v>
      </c>
      <c r="K420" s="56">
        <v>0.25972222222222224</v>
      </c>
      <c r="L420" s="59">
        <v>46078</v>
      </c>
      <c r="M420" s="63">
        <v>0.99</v>
      </c>
      <c r="N420" s="68">
        <v>1.141</v>
      </c>
      <c r="O420" s="22">
        <f>+MAX(Tabla4[[#This Row],[6KWA]:[9KWA]])</f>
        <v>1.5840000000000001</v>
      </c>
      <c r="P420" s="3">
        <f t="shared" si="69"/>
        <v>25</v>
      </c>
      <c r="Q420" s="3">
        <f t="shared" si="70"/>
        <v>2</v>
      </c>
      <c r="R420" s="3">
        <f t="shared" si="60"/>
        <v>9</v>
      </c>
      <c r="S420" s="84" t="str">
        <f t="shared" si="71"/>
        <v>febrero</v>
      </c>
      <c r="T420" s="21">
        <f t="shared" si="72"/>
        <v>544.6</v>
      </c>
      <c r="U420" s="21">
        <f t="shared" si="73"/>
        <v>519.75</v>
      </c>
      <c r="V420" s="21">
        <f t="shared" si="74"/>
        <v>554.4</v>
      </c>
      <c r="W420" s="21">
        <f>+Tabla4[[#This Row],[9KWA]]*350</f>
        <v>490.7</v>
      </c>
      <c r="X420" s="21">
        <f>350*Tabla4[[#This Row],[Max Factor Medido]]</f>
        <v>554.4</v>
      </c>
      <c r="Y420" s="39">
        <v>0.94</v>
      </c>
      <c r="Z420" s="3">
        <f t="shared" si="75"/>
        <v>2026</v>
      </c>
      <c r="AA420" s="21">
        <f>+MEDIAN(Tabla4[[#This Row],[kwreal 6]:[kwreal 9]])</f>
        <v>532.17499999999995</v>
      </c>
      <c r="AB420" s="39">
        <f>+Tabla4[[#This Row],[LineaBase-FD]]/350</f>
        <v>1.5205</v>
      </c>
    </row>
    <row r="421" spans="1:28" x14ac:dyDescent="0.3">
      <c r="A421" s="28">
        <v>6056</v>
      </c>
      <c r="B421" s="3">
        <v>1833</v>
      </c>
      <c r="C421" s="3">
        <v>721</v>
      </c>
      <c r="D421" s="3">
        <v>3190</v>
      </c>
      <c r="E421" s="3">
        <v>311</v>
      </c>
      <c r="F421" s="85">
        <v>1.556</v>
      </c>
      <c r="G421" s="85">
        <v>1.4850000000000001</v>
      </c>
      <c r="H421" s="85">
        <v>1.5840000000000001</v>
      </c>
      <c r="I421" s="85">
        <v>1.4019999999999999</v>
      </c>
      <c r="J421" s="20">
        <v>822</v>
      </c>
      <c r="K421" s="8">
        <v>0.24305555555555555</v>
      </c>
      <c r="L421" s="5">
        <v>46079</v>
      </c>
      <c r="M421" s="17">
        <v>0.99</v>
      </c>
      <c r="N421" s="68">
        <v>1.2689999999999999</v>
      </c>
      <c r="O421" s="22">
        <f>+MAX(Tabla4[[#This Row],[6KWA]:[9KWA]])</f>
        <v>1.5840000000000001</v>
      </c>
      <c r="P421" s="3">
        <f t="shared" ref="P421:P422" si="76">+DAY(L421)</f>
        <v>26</v>
      </c>
      <c r="Q421" s="3">
        <f t="shared" ref="Q421:Q422" si="77">+MONTH(L421)</f>
        <v>2</v>
      </c>
      <c r="R421" s="3">
        <f t="shared" si="60"/>
        <v>9</v>
      </c>
      <c r="S421" s="3" t="str">
        <f t="shared" ref="S421:S422" si="78">TEXT(L421,"mmmm")</f>
        <v>febrero</v>
      </c>
      <c r="T421" s="21">
        <f t="shared" ref="T421:T422" si="79">350*F421</f>
        <v>544.6</v>
      </c>
      <c r="U421" s="21">
        <f t="shared" ref="U421:U422" si="80">350*G421</f>
        <v>519.75</v>
      </c>
      <c r="V421" s="21">
        <f t="shared" ref="V421:V422" si="81">350*H421</f>
        <v>554.4</v>
      </c>
      <c r="W421" s="21">
        <f>+Tabla4[[#This Row],[9KWA]]*350</f>
        <v>490.7</v>
      </c>
      <c r="X421" s="21">
        <f>350*Tabla4[[#This Row],[Max Factor Medido]]</f>
        <v>554.4</v>
      </c>
      <c r="Y421" s="39">
        <v>0.94</v>
      </c>
      <c r="Z421" s="3">
        <f t="shared" ref="Z421:Z422" si="82">+YEAR(L421)</f>
        <v>2026</v>
      </c>
      <c r="AA421" s="74">
        <f>+MEDIAN(Tabla4[[#This Row],[kwreal 6]:[kwreal 9]])</f>
        <v>532.17499999999995</v>
      </c>
      <c r="AB421" s="74">
        <f>+Tabla4[[#This Row],[LineaBase-FD]]/350</f>
        <v>1.5205</v>
      </c>
    </row>
    <row r="422" spans="1:28" x14ac:dyDescent="0.3">
      <c r="A422" s="32">
        <v>6088</v>
      </c>
      <c r="B422" s="33">
        <v>1846</v>
      </c>
      <c r="C422" s="33">
        <v>726</v>
      </c>
      <c r="D422" s="33">
        <v>3203</v>
      </c>
      <c r="E422" s="33">
        <v>311</v>
      </c>
      <c r="F422" s="87">
        <v>1.6830000000000001</v>
      </c>
      <c r="G422" s="87">
        <v>1.51</v>
      </c>
      <c r="H422" s="87">
        <v>1.5840000000000001</v>
      </c>
      <c r="I422" s="87">
        <v>1.4019999999999999</v>
      </c>
      <c r="J422" s="34">
        <v>827</v>
      </c>
      <c r="K422" s="35">
        <v>0.24861111111111112</v>
      </c>
      <c r="L422" s="36">
        <v>46080</v>
      </c>
      <c r="M422" s="37">
        <v>0.99</v>
      </c>
      <c r="N422" s="88">
        <v>1.458</v>
      </c>
      <c r="O422" s="38">
        <f>+MAX(Tabla4[[#This Row],[6KWA]:[9KWA]])</f>
        <v>1.6830000000000001</v>
      </c>
      <c r="P422" s="33">
        <f t="shared" si="76"/>
        <v>27</v>
      </c>
      <c r="Q422" s="33">
        <f t="shared" si="77"/>
        <v>2</v>
      </c>
      <c r="R422" s="33">
        <f t="shared" si="60"/>
        <v>9</v>
      </c>
      <c r="S422" s="33" t="str">
        <f t="shared" si="78"/>
        <v>febrero</v>
      </c>
      <c r="T422" s="39">
        <f t="shared" si="79"/>
        <v>589.05000000000007</v>
      </c>
      <c r="U422" s="39">
        <f t="shared" si="80"/>
        <v>528.5</v>
      </c>
      <c r="V422" s="39">
        <f t="shared" si="81"/>
        <v>554.4</v>
      </c>
      <c r="W422" s="39">
        <f>+Tabla4[[#This Row],[9KWA]]*350</f>
        <v>490.7</v>
      </c>
      <c r="X422" s="39">
        <f>350*Tabla4[[#This Row],[Max Factor Medido]]</f>
        <v>589.05000000000007</v>
      </c>
      <c r="Y422" s="39">
        <v>0.94</v>
      </c>
      <c r="Z422" s="33">
        <f t="shared" si="82"/>
        <v>2026</v>
      </c>
      <c r="AA422" s="89">
        <f>+MEDIAN(Tabla4[[#This Row],[kwreal 6]:[kwreal 9]])</f>
        <v>541.45000000000005</v>
      </c>
      <c r="AB422" s="89">
        <f>+Tabla4[[#This Row],[LineaBase-FD]]/350</f>
        <v>1.5470000000000002</v>
      </c>
    </row>
    <row r="423" spans="1:28" x14ac:dyDescent="0.3">
      <c r="A423" s="32">
        <v>6119</v>
      </c>
      <c r="B423" s="33">
        <v>1860</v>
      </c>
      <c r="C423" s="33">
        <v>731</v>
      </c>
      <c r="D423" s="33">
        <v>3216</v>
      </c>
      <c r="E423" s="33">
        <v>311</v>
      </c>
      <c r="F423" s="90">
        <v>1.6830000000000001</v>
      </c>
      <c r="G423" s="91">
        <v>1.51</v>
      </c>
      <c r="H423" s="91">
        <v>1.5840000000000001</v>
      </c>
      <c r="I423" s="91">
        <v>1.4019999999999999</v>
      </c>
      <c r="J423" s="34">
        <v>832</v>
      </c>
      <c r="K423" s="35">
        <v>0.25</v>
      </c>
      <c r="L423" s="36">
        <v>46081</v>
      </c>
      <c r="M423" s="37">
        <v>0.97</v>
      </c>
      <c r="N423" s="92">
        <v>1.304</v>
      </c>
      <c r="O423" s="38">
        <f>+MAX(Tabla4[[#This Row],[6KWA]:[9KWA]])</f>
        <v>1.6830000000000001</v>
      </c>
      <c r="P423" s="33">
        <f>+DAY(L423)</f>
        <v>28</v>
      </c>
      <c r="Q423" s="33">
        <f>+MONTH(L423)</f>
        <v>2</v>
      </c>
      <c r="R423" s="33">
        <f t="shared" si="60"/>
        <v>9</v>
      </c>
      <c r="S423" s="33" t="str">
        <f>TEXT(L423,"mmmm")</f>
        <v>febrero</v>
      </c>
      <c r="T423" s="39">
        <f>350*F423</f>
        <v>589.05000000000007</v>
      </c>
      <c r="U423" s="39">
        <f>350*G423</f>
        <v>528.5</v>
      </c>
      <c r="V423" s="39">
        <f>350*H423</f>
        <v>554.4</v>
      </c>
      <c r="W423" s="39">
        <f>+Tabla4[[#This Row],[9KWA]]*350</f>
        <v>490.7</v>
      </c>
      <c r="X423" s="39">
        <f>350*Tabla4[[#This Row],[Max Factor Medido]]</f>
        <v>589.05000000000007</v>
      </c>
      <c r="Y423" s="39">
        <v>0.94</v>
      </c>
      <c r="Z423" s="33">
        <f>+YEAR(L423)</f>
        <v>2026</v>
      </c>
      <c r="AA423" s="89">
        <f>+MEDIAN(Tabla4[[#This Row],[kwreal 6]:[kwreal 9]])</f>
        <v>541.45000000000005</v>
      </c>
      <c r="AB423" s="89">
        <f>+Tabla4[[#This Row],[LineaBase-FD]]/350</f>
        <v>1.5470000000000002</v>
      </c>
    </row>
    <row r="424" spans="1:28" x14ac:dyDescent="0.3">
      <c r="A424" s="29">
        <v>6151</v>
      </c>
      <c r="B424" s="2">
        <v>1860</v>
      </c>
      <c r="C424" s="2">
        <v>731</v>
      </c>
      <c r="D424" s="2">
        <v>3242</v>
      </c>
      <c r="E424" s="2">
        <v>316</v>
      </c>
      <c r="F424" s="112">
        <v>0</v>
      </c>
      <c r="G424" s="112">
        <v>0</v>
      </c>
      <c r="H424" s="112">
        <v>1.4390000000000001</v>
      </c>
      <c r="I424" s="112">
        <v>0</v>
      </c>
      <c r="J424" s="12">
        <v>836</v>
      </c>
      <c r="K424" s="8">
        <v>0.25069444444444444</v>
      </c>
      <c r="L424" s="6">
        <v>46082</v>
      </c>
      <c r="M424" s="11">
        <v>0.99</v>
      </c>
      <c r="N424" s="97">
        <v>1.464</v>
      </c>
      <c r="O424" s="22">
        <f>+MAX(Tabla4[[#This Row],[6KWA]:[9KWA]])</f>
        <v>1.4390000000000001</v>
      </c>
      <c r="P424" s="3">
        <f t="shared" ref="P424:P427" si="83">+DAY(L424)</f>
        <v>1</v>
      </c>
      <c r="Q424" s="3">
        <f t="shared" ref="Q424:Q427" si="84">+MONTH(L424)</f>
        <v>3</v>
      </c>
      <c r="R424" s="33">
        <f t="shared" ref="R424:R427" si="85">WEEKNUM(L424)</f>
        <v>10</v>
      </c>
      <c r="S424" s="3" t="str">
        <f t="shared" ref="S424:S427" si="86">TEXT(L424,"mmmm")</f>
        <v>marzo</v>
      </c>
      <c r="T424" s="21">
        <f t="shared" ref="T424:T427" si="87">350*F424</f>
        <v>0</v>
      </c>
      <c r="U424" s="21">
        <f t="shared" ref="U424:U427" si="88">350*G424</f>
        <v>0</v>
      </c>
      <c r="V424" s="21">
        <f t="shared" ref="V424:V427" si="89">350*H424</f>
        <v>503.65000000000003</v>
      </c>
      <c r="W424" s="21">
        <f>+Tabla4[[#This Row],[9KWA]]*350</f>
        <v>0</v>
      </c>
      <c r="X424" s="21">
        <f>350*Tabla4[[#This Row],[Max Factor Medido]]</f>
        <v>503.65000000000003</v>
      </c>
      <c r="Y424" s="39">
        <v>0.94</v>
      </c>
      <c r="Z424" s="83">
        <f t="shared" ref="Z424:Z427" si="90">+YEAR(L424)</f>
        <v>2026</v>
      </c>
      <c r="AA424" s="74">
        <f>+MEDIAN(Tabla4[[#This Row],[kwreal 6]:[kwreal 9]])</f>
        <v>0</v>
      </c>
      <c r="AB424" s="21">
        <f>+Tabla4[[#This Row],[LineaBase-FD]]/350</f>
        <v>0</v>
      </c>
    </row>
    <row r="425" spans="1:28" x14ac:dyDescent="0.3">
      <c r="A425" s="28">
        <v>6183</v>
      </c>
      <c r="B425" s="3">
        <v>1860</v>
      </c>
      <c r="C425" s="3">
        <v>731</v>
      </c>
      <c r="D425" s="3">
        <v>3268</v>
      </c>
      <c r="E425" s="3">
        <v>322</v>
      </c>
      <c r="F425" s="85">
        <v>0</v>
      </c>
      <c r="G425" s="85">
        <v>0</v>
      </c>
      <c r="H425" s="85">
        <v>1.4390000000000001</v>
      </c>
      <c r="I425" s="85">
        <v>1.4430000000000001</v>
      </c>
      <c r="J425" s="20">
        <v>841</v>
      </c>
      <c r="K425" s="8">
        <v>0.24861111111111112</v>
      </c>
      <c r="L425" s="6">
        <v>46083</v>
      </c>
      <c r="M425" s="17">
        <v>0.98</v>
      </c>
      <c r="N425" s="98">
        <v>1.256</v>
      </c>
      <c r="O425" s="22">
        <f>+MAX(Tabla4[[#This Row],[6KWA]:[9KWA]])</f>
        <v>1.4430000000000001</v>
      </c>
      <c r="P425" s="3">
        <f t="shared" si="83"/>
        <v>2</v>
      </c>
      <c r="Q425" s="3">
        <f t="shared" si="84"/>
        <v>3</v>
      </c>
      <c r="R425" s="33">
        <f t="shared" si="85"/>
        <v>10</v>
      </c>
      <c r="S425" s="3" t="str">
        <f t="shared" si="86"/>
        <v>marzo</v>
      </c>
      <c r="T425" s="21">
        <f t="shared" si="87"/>
        <v>0</v>
      </c>
      <c r="U425" s="21">
        <f t="shared" si="88"/>
        <v>0</v>
      </c>
      <c r="V425" s="21">
        <f t="shared" si="89"/>
        <v>503.65000000000003</v>
      </c>
      <c r="W425" s="21">
        <f>+Tabla4[[#This Row],[9KWA]]*350</f>
        <v>505.05</v>
      </c>
      <c r="X425" s="21">
        <f>350*Tabla4[[#This Row],[Max Factor Medido]]</f>
        <v>505.05</v>
      </c>
      <c r="Y425" s="39">
        <v>0.94</v>
      </c>
      <c r="Z425" s="83">
        <f t="shared" si="90"/>
        <v>2026</v>
      </c>
      <c r="AA425" s="74">
        <f>+MEDIAN(Tabla4[[#This Row],[kwreal 6]:[kwreal 9]])</f>
        <v>251.82500000000002</v>
      </c>
      <c r="AB425" s="21">
        <f>+Tabla4[[#This Row],[LineaBase-FD]]/350</f>
        <v>0.71950000000000003</v>
      </c>
    </row>
    <row r="426" spans="1:28" x14ac:dyDescent="0.3">
      <c r="A426" s="29">
        <v>6216</v>
      </c>
      <c r="B426" s="3">
        <v>1879</v>
      </c>
      <c r="C426" s="3">
        <v>737</v>
      </c>
      <c r="D426" s="2">
        <v>3282</v>
      </c>
      <c r="E426" s="2">
        <v>322</v>
      </c>
      <c r="F426" s="96">
        <v>1.5409999999999999</v>
      </c>
      <c r="G426" s="96">
        <v>1.486</v>
      </c>
      <c r="H426" s="96">
        <v>1.474</v>
      </c>
      <c r="I426" s="85">
        <v>1.4430000000000001</v>
      </c>
      <c r="J426" s="12">
        <v>845</v>
      </c>
      <c r="K426" s="8">
        <v>0.26041666666666669</v>
      </c>
      <c r="L426" s="6">
        <v>46084</v>
      </c>
      <c r="M426" s="11">
        <v>0.98</v>
      </c>
      <c r="N426" s="99">
        <v>1.31</v>
      </c>
      <c r="O426" s="22">
        <f>+MAX(Tabla4[[#This Row],[6KWA]:[9KWA]])</f>
        <v>1.5409999999999999</v>
      </c>
      <c r="P426" s="3">
        <f t="shared" si="83"/>
        <v>3</v>
      </c>
      <c r="Q426" s="3">
        <f t="shared" si="84"/>
        <v>3</v>
      </c>
      <c r="R426" s="33">
        <f t="shared" si="85"/>
        <v>10</v>
      </c>
      <c r="S426" s="3" t="str">
        <f t="shared" si="86"/>
        <v>marzo</v>
      </c>
      <c r="T426" s="21">
        <f t="shared" si="87"/>
        <v>539.35</v>
      </c>
      <c r="U426" s="21">
        <f t="shared" si="88"/>
        <v>520.1</v>
      </c>
      <c r="V426" s="21">
        <f t="shared" si="89"/>
        <v>515.9</v>
      </c>
      <c r="W426" s="21">
        <f>+Tabla4[[#This Row],[9KWA]]*350</f>
        <v>505.05</v>
      </c>
      <c r="X426" s="21">
        <f>350*Tabla4[[#This Row],[Max Factor Medido]]</f>
        <v>539.35</v>
      </c>
      <c r="Y426" s="39">
        <v>0.94</v>
      </c>
      <c r="Z426" s="83">
        <f t="shared" si="90"/>
        <v>2026</v>
      </c>
      <c r="AA426" s="74">
        <f>+MEDIAN(Tabla4[[#This Row],[kwreal 6]:[kwreal 9]])</f>
        <v>518</v>
      </c>
      <c r="AB426" s="21">
        <f>+Tabla4[[#This Row],[LineaBase-FD]]/350</f>
        <v>1.48</v>
      </c>
    </row>
    <row r="427" spans="1:28" x14ac:dyDescent="0.3">
      <c r="A427" s="100">
        <v>6248</v>
      </c>
      <c r="B427" s="33">
        <v>1887</v>
      </c>
      <c r="C427" s="33">
        <v>742</v>
      </c>
      <c r="D427" s="101">
        <v>3295</v>
      </c>
      <c r="E427" s="101">
        <v>322</v>
      </c>
      <c r="F427" s="102">
        <v>1.5409999999999999</v>
      </c>
      <c r="G427" s="102">
        <v>1.486</v>
      </c>
      <c r="H427" s="102">
        <v>1.474</v>
      </c>
      <c r="I427" s="87">
        <v>1.4430000000000001</v>
      </c>
      <c r="J427" s="103">
        <v>850</v>
      </c>
      <c r="K427" s="35">
        <v>0.25277777777777777</v>
      </c>
      <c r="L427" s="104">
        <v>46085</v>
      </c>
      <c r="M427" s="105">
        <v>0.98</v>
      </c>
      <c r="N427" s="106">
        <v>1.266</v>
      </c>
      <c r="O427" s="38">
        <f>+MAX(Tabla4[[#This Row],[6KWA]:[9KWA]])</f>
        <v>1.5409999999999999</v>
      </c>
      <c r="P427" s="33">
        <f t="shared" si="83"/>
        <v>4</v>
      </c>
      <c r="Q427" s="33">
        <f t="shared" si="84"/>
        <v>3</v>
      </c>
      <c r="R427" s="33">
        <f t="shared" si="85"/>
        <v>10</v>
      </c>
      <c r="S427" s="33" t="str">
        <f t="shared" si="86"/>
        <v>marzo</v>
      </c>
      <c r="T427" s="39">
        <f t="shared" si="87"/>
        <v>539.35</v>
      </c>
      <c r="U427" s="39">
        <f t="shared" si="88"/>
        <v>520.1</v>
      </c>
      <c r="V427" s="39">
        <f t="shared" si="89"/>
        <v>515.9</v>
      </c>
      <c r="W427" s="39">
        <f>+Tabla4[[#This Row],[9KWA]]*350</f>
        <v>505.05</v>
      </c>
      <c r="X427" s="39">
        <f>350*Tabla4[[#This Row],[Max Factor Medido]]</f>
        <v>539.35</v>
      </c>
      <c r="Y427" s="39">
        <v>0.94</v>
      </c>
      <c r="Z427" s="107">
        <f t="shared" si="90"/>
        <v>2026</v>
      </c>
      <c r="AA427" s="89">
        <f>+MEDIAN(Tabla4[[#This Row],[kwreal 6]:[kwreal 9]])</f>
        <v>518</v>
      </c>
      <c r="AB427" s="39">
        <f>+Tabla4[[#This Row],[LineaBase-FD]]/350</f>
        <v>1.48</v>
      </c>
    </row>
    <row r="428" spans="1:28" x14ac:dyDescent="0.3">
      <c r="A428" s="28">
        <v>6278</v>
      </c>
      <c r="B428" s="3">
        <v>1900</v>
      </c>
      <c r="C428" s="3">
        <v>747</v>
      </c>
      <c r="D428" s="3">
        <v>3307</v>
      </c>
      <c r="E428" s="3">
        <v>322</v>
      </c>
      <c r="F428" s="85">
        <v>1.5409999999999999</v>
      </c>
      <c r="G428" s="85">
        <v>1.486</v>
      </c>
      <c r="H428" s="85">
        <v>1.474</v>
      </c>
      <c r="I428" s="85">
        <v>1.4430000000000001</v>
      </c>
      <c r="J428" s="20">
        <v>854</v>
      </c>
      <c r="K428" s="8">
        <v>0.24722222222222223</v>
      </c>
      <c r="L428" s="5">
        <f t="shared" ref="L428:L432" si="91">L427+1</f>
        <v>46086</v>
      </c>
      <c r="M428" s="17">
        <v>0.98</v>
      </c>
      <c r="N428" s="98">
        <v>1.3009999999999999</v>
      </c>
      <c r="O428" s="22">
        <f>+MAX(Tabla4[[#This Row],[6KWA]:[9KWA]])</f>
        <v>1.5409999999999999</v>
      </c>
      <c r="P428" s="3">
        <f t="shared" ref="P428:P447" si="92">+DAY(L428)</f>
        <v>5</v>
      </c>
      <c r="Q428" s="3">
        <f t="shared" ref="Q428:Q447" si="93">+MONTH(L428)</f>
        <v>3</v>
      </c>
      <c r="R428" s="33">
        <f t="shared" ref="R428:R447" si="94">WEEKNUM(L428)</f>
        <v>10</v>
      </c>
      <c r="S428" s="3" t="str">
        <f t="shared" ref="S428:S447" si="95">TEXT(L428,"mmmm")</f>
        <v>marzo</v>
      </c>
      <c r="T428" s="21">
        <f t="shared" ref="T428:T447" si="96">350*F428</f>
        <v>539.35</v>
      </c>
      <c r="U428" s="21">
        <f t="shared" ref="U428:U447" si="97">350*G428</f>
        <v>520.1</v>
      </c>
      <c r="V428" s="21">
        <f t="shared" ref="V428:V447" si="98">350*H428</f>
        <v>515.9</v>
      </c>
      <c r="W428" s="21">
        <f>+Tabla4[[#This Row],[9KWA]]*350</f>
        <v>505.05</v>
      </c>
      <c r="X428" s="21">
        <f>350*Tabla4[[#This Row],[Max Factor Medido]]</f>
        <v>539.35</v>
      </c>
      <c r="Y428" s="39">
        <v>0.94</v>
      </c>
      <c r="Z428" s="83">
        <f t="shared" ref="Z428:Z447" si="99">+YEAR(L428)</f>
        <v>2026</v>
      </c>
      <c r="AA428" s="74">
        <f>+MEDIAN(Tabla4[[#This Row],[kwreal 6]:[kwreal 9]])</f>
        <v>518</v>
      </c>
      <c r="AB428" s="21">
        <f>+Tabla4[[#This Row],[LineaBase-FD]]/350</f>
        <v>1.48</v>
      </c>
    </row>
    <row r="429" spans="1:28" x14ac:dyDescent="0.3">
      <c r="A429" s="28">
        <v>6310</v>
      </c>
      <c r="B429" s="3">
        <v>1914</v>
      </c>
      <c r="C429" s="3">
        <v>753</v>
      </c>
      <c r="D429" s="3">
        <v>3320</v>
      </c>
      <c r="E429" s="3">
        <v>322</v>
      </c>
      <c r="F429" s="85">
        <v>1.5409999999999999</v>
      </c>
      <c r="G429" s="85">
        <v>1.486</v>
      </c>
      <c r="H429" s="85">
        <v>1.474</v>
      </c>
      <c r="I429" s="85">
        <v>1.4430000000000001</v>
      </c>
      <c r="J429" s="20">
        <v>858</v>
      </c>
      <c r="K429" s="8">
        <v>0.24652777777777779</v>
      </c>
      <c r="L429" s="5">
        <f t="shared" si="91"/>
        <v>46087</v>
      </c>
      <c r="M429" s="17">
        <v>0.98</v>
      </c>
      <c r="N429" s="108">
        <v>1.3129999999999999</v>
      </c>
      <c r="O429" s="22">
        <f>+MAX(Tabla4[[#This Row],[6KWA]:[9KWA]])</f>
        <v>1.5409999999999999</v>
      </c>
      <c r="P429" s="3">
        <f t="shared" si="92"/>
        <v>6</v>
      </c>
      <c r="Q429" s="3">
        <f t="shared" si="93"/>
        <v>3</v>
      </c>
      <c r="R429" s="33">
        <f t="shared" si="94"/>
        <v>10</v>
      </c>
      <c r="S429" s="3" t="str">
        <f t="shared" si="95"/>
        <v>marzo</v>
      </c>
      <c r="T429" s="21">
        <f t="shared" si="96"/>
        <v>539.35</v>
      </c>
      <c r="U429" s="21">
        <f t="shared" si="97"/>
        <v>520.1</v>
      </c>
      <c r="V429" s="21">
        <f t="shared" si="98"/>
        <v>515.9</v>
      </c>
      <c r="W429" s="21">
        <f>+Tabla4[[#This Row],[9KWA]]*350</f>
        <v>505.05</v>
      </c>
      <c r="X429" s="21">
        <f>350*Tabla4[[#This Row],[Max Factor Medido]]</f>
        <v>539.35</v>
      </c>
      <c r="Y429" s="39">
        <v>0.94</v>
      </c>
      <c r="Z429" s="83">
        <f t="shared" si="99"/>
        <v>2026</v>
      </c>
      <c r="AA429" s="74">
        <f>+MEDIAN(Tabla4[[#This Row],[kwreal 6]:[kwreal 9]])</f>
        <v>518</v>
      </c>
      <c r="AB429" s="21">
        <f>+Tabla4[[#This Row],[LineaBase-FD]]/350</f>
        <v>1.48</v>
      </c>
    </row>
    <row r="430" spans="1:28" x14ac:dyDescent="0.3">
      <c r="A430" s="28">
        <v>6343</v>
      </c>
      <c r="B430" s="3">
        <v>1928</v>
      </c>
      <c r="C430" s="3">
        <v>759</v>
      </c>
      <c r="D430" s="3">
        <v>3334</v>
      </c>
      <c r="E430" s="3">
        <v>322</v>
      </c>
      <c r="F430" s="85">
        <v>1.5409999999999999</v>
      </c>
      <c r="G430" s="85">
        <v>1.486</v>
      </c>
      <c r="H430" s="85">
        <v>1.474</v>
      </c>
      <c r="I430" s="85">
        <v>1.4430000000000001</v>
      </c>
      <c r="J430" s="20">
        <v>863</v>
      </c>
      <c r="K430" s="8">
        <v>0.25</v>
      </c>
      <c r="L430" s="5">
        <f t="shared" si="91"/>
        <v>46088</v>
      </c>
      <c r="M430" s="17">
        <v>0.99</v>
      </c>
      <c r="N430" s="98">
        <v>1.3280000000000001</v>
      </c>
      <c r="O430" s="22">
        <f>+MAX(Tabla4[[#This Row],[6KWA]:[9KWA]])</f>
        <v>1.5409999999999999</v>
      </c>
      <c r="P430" s="3">
        <f t="shared" si="92"/>
        <v>7</v>
      </c>
      <c r="Q430" s="3">
        <f t="shared" si="93"/>
        <v>3</v>
      </c>
      <c r="R430" s="33">
        <f t="shared" si="94"/>
        <v>10</v>
      </c>
      <c r="S430" s="3" t="str">
        <f t="shared" si="95"/>
        <v>marzo</v>
      </c>
      <c r="T430" s="21">
        <f t="shared" si="96"/>
        <v>539.35</v>
      </c>
      <c r="U430" s="21">
        <f t="shared" si="97"/>
        <v>520.1</v>
      </c>
      <c r="V430" s="21">
        <f t="shared" si="98"/>
        <v>515.9</v>
      </c>
      <c r="W430" s="21">
        <f>+Tabla4[[#This Row],[9KWA]]*350</f>
        <v>505.05</v>
      </c>
      <c r="X430" s="21">
        <f>350*Tabla4[[#This Row],[Max Factor Medido]]</f>
        <v>539.35</v>
      </c>
      <c r="Y430" s="39">
        <v>0.94</v>
      </c>
      <c r="Z430" s="83">
        <f t="shared" si="99"/>
        <v>2026</v>
      </c>
      <c r="AA430" s="74">
        <f>+MEDIAN(Tabla4[[#This Row],[kwreal 6]:[kwreal 9]])</f>
        <v>518</v>
      </c>
      <c r="AB430" s="21">
        <f>+Tabla4[[#This Row],[LineaBase-FD]]/350</f>
        <v>1.48</v>
      </c>
    </row>
    <row r="431" spans="1:28" x14ac:dyDescent="0.3">
      <c r="A431" s="28">
        <v>6375</v>
      </c>
      <c r="B431" s="3">
        <v>1928</v>
      </c>
      <c r="C431" s="3">
        <v>759</v>
      </c>
      <c r="D431" s="3">
        <v>3360</v>
      </c>
      <c r="E431" s="3">
        <v>327</v>
      </c>
      <c r="F431" s="85">
        <v>1.5409999999999999</v>
      </c>
      <c r="G431" s="85">
        <v>1.486</v>
      </c>
      <c r="H431" s="85">
        <v>1.474</v>
      </c>
      <c r="I431" s="85">
        <v>1.4430000000000001</v>
      </c>
      <c r="J431" s="20">
        <v>868</v>
      </c>
      <c r="K431" s="8">
        <v>0.25</v>
      </c>
      <c r="L431" s="5">
        <f t="shared" si="91"/>
        <v>46089</v>
      </c>
      <c r="M431" s="17">
        <v>0.98</v>
      </c>
      <c r="N431" s="98">
        <v>1.278</v>
      </c>
      <c r="O431" s="22">
        <f>+MAX(Tabla4[[#This Row],[6KWA]:[9KWA]])</f>
        <v>1.5409999999999999</v>
      </c>
      <c r="P431" s="3">
        <f t="shared" si="92"/>
        <v>8</v>
      </c>
      <c r="Q431" s="3">
        <f t="shared" si="93"/>
        <v>3</v>
      </c>
      <c r="R431" s="33">
        <f t="shared" si="94"/>
        <v>11</v>
      </c>
      <c r="S431" s="3" t="str">
        <f t="shared" si="95"/>
        <v>marzo</v>
      </c>
      <c r="T431" s="21">
        <f t="shared" si="96"/>
        <v>539.35</v>
      </c>
      <c r="U431" s="21">
        <f t="shared" si="97"/>
        <v>520.1</v>
      </c>
      <c r="V431" s="21">
        <f t="shared" si="98"/>
        <v>515.9</v>
      </c>
      <c r="W431" s="21">
        <f>+Tabla4[[#This Row],[9KWA]]*350</f>
        <v>505.05</v>
      </c>
      <c r="X431" s="21">
        <f>350*Tabla4[[#This Row],[Max Factor Medido]]</f>
        <v>539.35</v>
      </c>
      <c r="Y431" s="39">
        <v>0.94</v>
      </c>
      <c r="Z431" s="83">
        <f t="shared" si="99"/>
        <v>2026</v>
      </c>
      <c r="AA431" s="74">
        <f>+MEDIAN(Tabla4[[#This Row],[kwreal 6]:[kwreal 9]])</f>
        <v>518</v>
      </c>
      <c r="AB431" s="21">
        <f>+Tabla4[[#This Row],[LineaBase-FD]]/350</f>
        <v>1.48</v>
      </c>
    </row>
    <row r="432" spans="1:28" x14ac:dyDescent="0.3">
      <c r="A432" s="28">
        <v>6408</v>
      </c>
      <c r="B432" s="3">
        <v>1928</v>
      </c>
      <c r="C432" s="3">
        <v>759</v>
      </c>
      <c r="D432" s="3">
        <v>3387</v>
      </c>
      <c r="E432" s="3">
        <v>332</v>
      </c>
      <c r="F432" s="85">
        <v>1.5409999999999999</v>
      </c>
      <c r="G432" s="85">
        <v>1.486</v>
      </c>
      <c r="H432" s="85">
        <v>1.474</v>
      </c>
      <c r="I432" s="85">
        <v>1.46</v>
      </c>
      <c r="J432" s="20">
        <v>873</v>
      </c>
      <c r="K432" s="8">
        <v>0.24930555555555556</v>
      </c>
      <c r="L432" s="5">
        <f t="shared" si="91"/>
        <v>46090</v>
      </c>
      <c r="M432" s="17">
        <v>0.98</v>
      </c>
      <c r="N432" s="98">
        <v>1.3680000000000001</v>
      </c>
      <c r="O432" s="22">
        <f>+MAX(Tabla4[[#This Row],[6KWA]:[9KWA]])</f>
        <v>1.5409999999999999</v>
      </c>
      <c r="P432" s="3">
        <f t="shared" si="92"/>
        <v>9</v>
      </c>
      <c r="Q432" s="3">
        <f t="shared" si="93"/>
        <v>3</v>
      </c>
      <c r="R432" s="33">
        <f t="shared" si="94"/>
        <v>11</v>
      </c>
      <c r="S432" s="3" t="str">
        <f t="shared" si="95"/>
        <v>marzo</v>
      </c>
      <c r="T432" s="21">
        <f t="shared" si="96"/>
        <v>539.35</v>
      </c>
      <c r="U432" s="21">
        <f t="shared" si="97"/>
        <v>520.1</v>
      </c>
      <c r="V432" s="21">
        <f t="shared" si="98"/>
        <v>515.9</v>
      </c>
      <c r="W432" s="21">
        <f>+Tabla4[[#This Row],[9KWA]]*350</f>
        <v>511</v>
      </c>
      <c r="X432" s="21">
        <f>350*Tabla4[[#This Row],[Max Factor Medido]]</f>
        <v>539.35</v>
      </c>
      <c r="Y432" s="39">
        <v>0.94</v>
      </c>
      <c r="Z432" s="83">
        <f t="shared" si="99"/>
        <v>2026</v>
      </c>
      <c r="AA432" s="74">
        <f>+MEDIAN(Tabla4[[#This Row],[kwreal 6]:[kwreal 9]])</f>
        <v>518</v>
      </c>
      <c r="AB432" s="21">
        <f>+Tabla4[[#This Row],[LineaBase-FD]]/350</f>
        <v>1.48</v>
      </c>
    </row>
    <row r="433" spans="1:28" x14ac:dyDescent="0.3">
      <c r="A433" s="28">
        <v>6440</v>
      </c>
      <c r="B433" s="3">
        <v>1942</v>
      </c>
      <c r="C433" s="3">
        <v>764</v>
      </c>
      <c r="D433" s="3">
        <v>3400</v>
      </c>
      <c r="E433" s="3">
        <v>332</v>
      </c>
      <c r="F433" s="85">
        <v>1.5409999999999999</v>
      </c>
      <c r="G433" s="85">
        <v>1.486</v>
      </c>
      <c r="H433" s="85">
        <v>1.474</v>
      </c>
      <c r="I433" s="85">
        <v>1.46</v>
      </c>
      <c r="J433" s="20">
        <v>877</v>
      </c>
      <c r="K433" s="8">
        <v>0.25069444444444444</v>
      </c>
      <c r="L433" s="5">
        <v>46091</v>
      </c>
      <c r="M433" s="17">
        <v>0.99</v>
      </c>
      <c r="N433" s="98">
        <v>1.407</v>
      </c>
      <c r="O433" s="22">
        <f>+MAX(Tabla4[[#This Row],[6KWA]:[9KWA]])</f>
        <v>1.5409999999999999</v>
      </c>
      <c r="P433" s="3">
        <f t="shared" si="92"/>
        <v>10</v>
      </c>
      <c r="Q433" s="3">
        <f t="shared" si="93"/>
        <v>3</v>
      </c>
      <c r="R433" s="33">
        <f t="shared" si="94"/>
        <v>11</v>
      </c>
      <c r="S433" s="3" t="str">
        <f t="shared" si="95"/>
        <v>marzo</v>
      </c>
      <c r="T433" s="21">
        <f t="shared" si="96"/>
        <v>539.35</v>
      </c>
      <c r="U433" s="21">
        <f t="shared" si="97"/>
        <v>520.1</v>
      </c>
      <c r="V433" s="21">
        <f t="shared" si="98"/>
        <v>515.9</v>
      </c>
      <c r="W433" s="21">
        <f>+Tabla4[[#This Row],[9KWA]]*350</f>
        <v>511</v>
      </c>
      <c r="X433" s="21">
        <f>350*Tabla4[[#This Row],[Max Factor Medido]]</f>
        <v>539.35</v>
      </c>
      <c r="Y433" s="39">
        <v>0.94</v>
      </c>
      <c r="Z433" s="83">
        <f t="shared" si="99"/>
        <v>2026</v>
      </c>
      <c r="AA433" s="74">
        <f>+MEDIAN(Tabla4[[#This Row],[kwreal 6]:[kwreal 9]])</f>
        <v>518</v>
      </c>
      <c r="AB433" s="21">
        <f>+Tabla4[[#This Row],[LineaBase-FD]]/350</f>
        <v>1.48</v>
      </c>
    </row>
    <row r="434" spans="1:28" x14ac:dyDescent="0.3">
      <c r="A434" s="29">
        <v>6474</v>
      </c>
      <c r="B434" s="2">
        <v>1955</v>
      </c>
      <c r="C434" s="2">
        <v>770</v>
      </c>
      <c r="D434" s="2">
        <v>3415</v>
      </c>
      <c r="E434" s="2">
        <v>332</v>
      </c>
      <c r="F434" s="96">
        <v>1.5409999999999999</v>
      </c>
      <c r="G434" s="96">
        <v>1.486</v>
      </c>
      <c r="H434" s="85">
        <v>1.474</v>
      </c>
      <c r="I434" s="96">
        <v>1.46</v>
      </c>
      <c r="J434" s="12">
        <v>882</v>
      </c>
      <c r="K434" s="8">
        <v>0.2722222222222222</v>
      </c>
      <c r="L434" s="6">
        <v>46092</v>
      </c>
      <c r="M434" s="11">
        <v>0.98</v>
      </c>
      <c r="N434" s="98">
        <v>1.226</v>
      </c>
      <c r="O434" s="22">
        <f>+MAX(Tabla4[[#This Row],[6KWA]:[9KWA]])</f>
        <v>1.5409999999999999</v>
      </c>
      <c r="P434" s="3">
        <f t="shared" si="92"/>
        <v>11</v>
      </c>
      <c r="Q434" s="3">
        <f t="shared" si="93"/>
        <v>3</v>
      </c>
      <c r="R434" s="33">
        <f t="shared" si="94"/>
        <v>11</v>
      </c>
      <c r="S434" s="3" t="str">
        <f t="shared" si="95"/>
        <v>marzo</v>
      </c>
      <c r="T434" s="21">
        <f t="shared" si="96"/>
        <v>539.35</v>
      </c>
      <c r="U434" s="21">
        <f t="shared" si="97"/>
        <v>520.1</v>
      </c>
      <c r="V434" s="21">
        <f t="shared" si="98"/>
        <v>515.9</v>
      </c>
      <c r="W434" s="21">
        <f>+Tabla4[[#This Row],[9KWA]]*350</f>
        <v>511</v>
      </c>
      <c r="X434" s="21">
        <f>350*Tabla4[[#This Row],[Max Factor Medido]]</f>
        <v>539.35</v>
      </c>
      <c r="Y434" s="39">
        <v>0.94</v>
      </c>
      <c r="Z434" s="83">
        <f t="shared" si="99"/>
        <v>2026</v>
      </c>
      <c r="AA434" s="74">
        <f>+MEDIAN(Tabla4[[#This Row],[kwreal 6]:[kwreal 9]])</f>
        <v>518</v>
      </c>
      <c r="AB434" s="21">
        <f>+Tabla4[[#This Row],[LineaBase-FD]]/350</f>
        <v>1.48</v>
      </c>
    </row>
    <row r="435" spans="1:28" x14ac:dyDescent="0.3">
      <c r="A435" s="29">
        <v>6507</v>
      </c>
      <c r="B435" s="2">
        <v>1970</v>
      </c>
      <c r="C435" s="2">
        <v>776</v>
      </c>
      <c r="D435" s="2">
        <v>3427</v>
      </c>
      <c r="E435" s="2">
        <v>332</v>
      </c>
      <c r="F435" s="96">
        <v>1.5409999999999999</v>
      </c>
      <c r="G435" s="96">
        <v>1.504</v>
      </c>
      <c r="H435" s="96">
        <v>1.474</v>
      </c>
      <c r="I435" s="96">
        <v>1.46</v>
      </c>
      <c r="J435" s="12">
        <v>888</v>
      </c>
      <c r="K435" s="8">
        <v>0.24444444444444444</v>
      </c>
      <c r="L435" s="6">
        <v>46093</v>
      </c>
      <c r="M435" s="11">
        <v>0.98</v>
      </c>
      <c r="N435" s="98">
        <v>1.3460000000000001</v>
      </c>
      <c r="O435" s="22">
        <f>+MAX(Tabla4[[#This Row],[6KWA]:[9KWA]])</f>
        <v>1.5409999999999999</v>
      </c>
      <c r="P435" s="3">
        <f t="shared" si="92"/>
        <v>12</v>
      </c>
      <c r="Q435" s="3">
        <f t="shared" si="93"/>
        <v>3</v>
      </c>
      <c r="R435" s="33">
        <f t="shared" si="94"/>
        <v>11</v>
      </c>
      <c r="S435" s="3" t="str">
        <f t="shared" si="95"/>
        <v>marzo</v>
      </c>
      <c r="T435" s="21">
        <f t="shared" si="96"/>
        <v>539.35</v>
      </c>
      <c r="U435" s="21">
        <f t="shared" si="97"/>
        <v>526.4</v>
      </c>
      <c r="V435" s="21">
        <f t="shared" si="98"/>
        <v>515.9</v>
      </c>
      <c r="W435" s="21">
        <f>+Tabla4[[#This Row],[9KWA]]*350</f>
        <v>511</v>
      </c>
      <c r="X435" s="21">
        <f>350*Tabla4[[#This Row],[Max Factor Medido]]</f>
        <v>539.35</v>
      </c>
      <c r="Y435" s="39">
        <v>0.94</v>
      </c>
      <c r="Z435" s="83">
        <f t="shared" si="99"/>
        <v>2026</v>
      </c>
      <c r="AA435" s="74">
        <f>+MEDIAN(Tabla4[[#This Row],[kwreal 6]:[kwreal 9]])</f>
        <v>521.15</v>
      </c>
      <c r="AB435" s="21">
        <f>+Tabla4[[#This Row],[LineaBase-FD]]/350</f>
        <v>1.4889999999999999</v>
      </c>
    </row>
    <row r="436" spans="1:28" x14ac:dyDescent="0.3">
      <c r="A436" s="28">
        <v>6540</v>
      </c>
      <c r="B436" s="3">
        <v>1983</v>
      </c>
      <c r="C436" s="3">
        <v>781</v>
      </c>
      <c r="D436" s="3">
        <v>3441</v>
      </c>
      <c r="E436" s="3">
        <v>332</v>
      </c>
      <c r="F436" s="85">
        <v>1.5409999999999999</v>
      </c>
      <c r="G436" s="85">
        <v>1.508</v>
      </c>
      <c r="H436" s="85">
        <v>1.474</v>
      </c>
      <c r="I436" s="85">
        <v>1.46</v>
      </c>
      <c r="J436" s="20">
        <v>893</v>
      </c>
      <c r="K436" s="8">
        <v>0.25069444444444444</v>
      </c>
      <c r="L436" s="5">
        <v>46094</v>
      </c>
      <c r="M436" s="17">
        <v>0.98</v>
      </c>
      <c r="N436" s="98">
        <v>1.4259999999999999</v>
      </c>
      <c r="O436" s="22">
        <f>+MAX(Tabla4[[#This Row],[6KWA]:[9KWA]])</f>
        <v>1.5409999999999999</v>
      </c>
      <c r="P436" s="3">
        <f t="shared" si="92"/>
        <v>13</v>
      </c>
      <c r="Q436" s="3">
        <f t="shared" si="93"/>
        <v>3</v>
      </c>
      <c r="R436" s="33">
        <f t="shared" si="94"/>
        <v>11</v>
      </c>
      <c r="S436" s="3" t="str">
        <f t="shared" si="95"/>
        <v>marzo</v>
      </c>
      <c r="T436" s="21">
        <f t="shared" si="96"/>
        <v>539.35</v>
      </c>
      <c r="U436" s="21">
        <f t="shared" si="97"/>
        <v>527.79999999999995</v>
      </c>
      <c r="V436" s="21">
        <f t="shared" si="98"/>
        <v>515.9</v>
      </c>
      <c r="W436" s="21">
        <f>+Tabla4[[#This Row],[9KWA]]*350</f>
        <v>511</v>
      </c>
      <c r="X436" s="21">
        <f>350*Tabla4[[#This Row],[Max Factor Medido]]</f>
        <v>539.35</v>
      </c>
      <c r="Y436" s="39">
        <v>0.94</v>
      </c>
      <c r="Z436" s="83">
        <f t="shared" si="99"/>
        <v>2026</v>
      </c>
      <c r="AA436" s="74">
        <f>+MEDIAN(Tabla4[[#This Row],[kwreal 6]:[kwreal 9]])</f>
        <v>521.84999999999991</v>
      </c>
      <c r="AB436" s="21">
        <f>+Tabla4[[#This Row],[LineaBase-FD]]/350</f>
        <v>1.4909999999999997</v>
      </c>
    </row>
    <row r="437" spans="1:28" x14ac:dyDescent="0.3">
      <c r="A437" s="28">
        <v>6573</v>
      </c>
      <c r="B437" s="3">
        <v>1997</v>
      </c>
      <c r="C437" s="3">
        <v>787</v>
      </c>
      <c r="D437" s="14">
        <v>3455</v>
      </c>
      <c r="E437" s="3">
        <v>332</v>
      </c>
      <c r="F437" s="85">
        <v>1.5409999999999999</v>
      </c>
      <c r="G437" s="85">
        <v>1.5149999999999999</v>
      </c>
      <c r="H437" s="85">
        <v>1.474</v>
      </c>
      <c r="I437" s="85">
        <v>1.46</v>
      </c>
      <c r="J437" s="20">
        <v>897</v>
      </c>
      <c r="K437" s="8">
        <v>0.25347222222222221</v>
      </c>
      <c r="L437" s="1">
        <v>46095</v>
      </c>
      <c r="M437" s="17">
        <v>0.99</v>
      </c>
      <c r="N437" s="108">
        <v>1.3180000000000001</v>
      </c>
      <c r="O437" s="22">
        <f>+MAX(Tabla4[[#This Row],[6KWA]:[9KWA]])</f>
        <v>1.5409999999999999</v>
      </c>
      <c r="P437" s="3">
        <f t="shared" si="92"/>
        <v>14</v>
      </c>
      <c r="Q437" s="3">
        <f t="shared" si="93"/>
        <v>3</v>
      </c>
      <c r="R437" s="33">
        <f t="shared" si="94"/>
        <v>11</v>
      </c>
      <c r="S437" s="3" t="str">
        <f t="shared" si="95"/>
        <v>marzo</v>
      </c>
      <c r="T437" s="21">
        <f t="shared" si="96"/>
        <v>539.35</v>
      </c>
      <c r="U437" s="21">
        <f t="shared" si="97"/>
        <v>530.25</v>
      </c>
      <c r="V437" s="21">
        <f t="shared" si="98"/>
        <v>515.9</v>
      </c>
      <c r="W437" s="21">
        <f>+Tabla4[[#This Row],[9KWA]]*350</f>
        <v>511</v>
      </c>
      <c r="X437" s="21">
        <f>350*Tabla4[[#This Row],[Max Factor Medido]]</f>
        <v>539.35</v>
      </c>
      <c r="Y437" s="39">
        <v>0.94</v>
      </c>
      <c r="Z437" s="83">
        <f t="shared" si="99"/>
        <v>2026</v>
      </c>
      <c r="AA437" s="74">
        <f>+MEDIAN(Tabla4[[#This Row],[kwreal 6]:[kwreal 9]])</f>
        <v>523.07500000000005</v>
      </c>
      <c r="AB437" s="21">
        <f>+Tabla4[[#This Row],[LineaBase-FD]]/350</f>
        <v>1.4945000000000002</v>
      </c>
    </row>
    <row r="438" spans="1:28" x14ac:dyDescent="0.3">
      <c r="A438" s="28">
        <v>6606</v>
      </c>
      <c r="B438" s="3">
        <v>1997</v>
      </c>
      <c r="C438" s="3">
        <v>787</v>
      </c>
      <c r="D438" s="3">
        <v>3482</v>
      </c>
      <c r="E438" s="3">
        <v>337</v>
      </c>
      <c r="F438" s="85">
        <v>1.5409999999999999</v>
      </c>
      <c r="G438" s="85">
        <v>1.5149999999999999</v>
      </c>
      <c r="H438" s="85">
        <v>1.5089999999999999</v>
      </c>
      <c r="I438" s="85">
        <v>1.5369999999999999</v>
      </c>
      <c r="J438" s="20">
        <v>903</v>
      </c>
      <c r="K438" s="8">
        <v>0.24861111111111112</v>
      </c>
      <c r="L438" s="5">
        <v>46096</v>
      </c>
      <c r="M438" s="17">
        <v>0.97</v>
      </c>
      <c r="N438" s="108">
        <v>1.319</v>
      </c>
      <c r="O438" s="22">
        <f>+MAX(Tabla4[[#This Row],[6KWA]:[9KWA]])</f>
        <v>1.5409999999999999</v>
      </c>
      <c r="P438" s="3">
        <f t="shared" si="92"/>
        <v>15</v>
      </c>
      <c r="Q438" s="3">
        <f t="shared" si="93"/>
        <v>3</v>
      </c>
      <c r="R438" s="33">
        <f t="shared" si="94"/>
        <v>12</v>
      </c>
      <c r="S438" s="3" t="str">
        <f t="shared" si="95"/>
        <v>marzo</v>
      </c>
      <c r="T438" s="21">
        <f t="shared" si="96"/>
        <v>539.35</v>
      </c>
      <c r="U438" s="21">
        <f t="shared" si="97"/>
        <v>530.25</v>
      </c>
      <c r="V438" s="21">
        <f t="shared" si="98"/>
        <v>528.15</v>
      </c>
      <c r="W438" s="21">
        <f>+Tabla4[[#This Row],[9KWA]]*350</f>
        <v>537.94999999999993</v>
      </c>
      <c r="X438" s="21">
        <f>350*Tabla4[[#This Row],[Max Factor Medido]]</f>
        <v>539.35</v>
      </c>
      <c r="Y438" s="39">
        <v>0.94</v>
      </c>
      <c r="Z438" s="83">
        <f t="shared" si="99"/>
        <v>2026</v>
      </c>
      <c r="AA438" s="74">
        <f>+MEDIAN(Tabla4[[#This Row],[kwreal 6]:[kwreal 9]])</f>
        <v>534.09999999999991</v>
      </c>
      <c r="AB438" s="21">
        <f>+Tabla4[[#This Row],[LineaBase-FD]]/350</f>
        <v>1.5259999999999998</v>
      </c>
    </row>
    <row r="439" spans="1:28" x14ac:dyDescent="0.3">
      <c r="A439" s="28">
        <v>6638</v>
      </c>
      <c r="B439" s="3">
        <v>1997</v>
      </c>
      <c r="C439" s="3">
        <v>787</v>
      </c>
      <c r="D439" s="3">
        <v>3509</v>
      </c>
      <c r="E439" s="3">
        <v>343</v>
      </c>
      <c r="F439" s="85">
        <v>1.5409999999999999</v>
      </c>
      <c r="G439" s="85">
        <v>1.5149999999999999</v>
      </c>
      <c r="H439" s="85">
        <v>1.5089999999999999</v>
      </c>
      <c r="I439" s="85">
        <v>1.5369999999999999</v>
      </c>
      <c r="J439" s="20">
        <v>908</v>
      </c>
      <c r="K439" s="8">
        <v>0.24930555555555556</v>
      </c>
      <c r="L439" s="5">
        <v>46097</v>
      </c>
      <c r="M439" s="17">
        <v>0.98</v>
      </c>
      <c r="N439" s="108">
        <v>1.3029999999999999</v>
      </c>
      <c r="O439" s="22">
        <f>+MAX(Tabla4[[#This Row],[6KWA]:[9KWA]])</f>
        <v>1.5409999999999999</v>
      </c>
      <c r="P439" s="3">
        <f t="shared" si="92"/>
        <v>16</v>
      </c>
      <c r="Q439" s="3">
        <f t="shared" si="93"/>
        <v>3</v>
      </c>
      <c r="R439" s="33">
        <f t="shared" si="94"/>
        <v>12</v>
      </c>
      <c r="S439" s="3" t="str">
        <f t="shared" si="95"/>
        <v>marzo</v>
      </c>
      <c r="T439" s="21">
        <f t="shared" si="96"/>
        <v>539.35</v>
      </c>
      <c r="U439" s="21">
        <f t="shared" si="97"/>
        <v>530.25</v>
      </c>
      <c r="V439" s="21">
        <f t="shared" si="98"/>
        <v>528.15</v>
      </c>
      <c r="W439" s="21">
        <f>+Tabla4[[#This Row],[9KWA]]*350</f>
        <v>537.94999999999993</v>
      </c>
      <c r="X439" s="21">
        <f>350*Tabla4[[#This Row],[Max Factor Medido]]</f>
        <v>539.35</v>
      </c>
      <c r="Y439" s="39">
        <v>0.94</v>
      </c>
      <c r="Z439" s="83">
        <f t="shared" si="99"/>
        <v>2026</v>
      </c>
      <c r="AA439" s="74">
        <f>+MEDIAN(Tabla4[[#This Row],[kwreal 6]:[kwreal 9]])</f>
        <v>534.09999999999991</v>
      </c>
      <c r="AB439" s="21">
        <f>+Tabla4[[#This Row],[LineaBase-FD]]/350</f>
        <v>1.5259999999999998</v>
      </c>
    </row>
    <row r="440" spans="1:28" x14ac:dyDescent="0.3">
      <c r="A440" s="29">
        <v>6671</v>
      </c>
      <c r="B440" s="2">
        <v>2012</v>
      </c>
      <c r="C440" s="2">
        <v>793</v>
      </c>
      <c r="D440" s="2">
        <v>3523</v>
      </c>
      <c r="E440" s="2">
        <v>343</v>
      </c>
      <c r="F440" s="96">
        <v>1.5409999999999999</v>
      </c>
      <c r="G440" s="85">
        <v>1.5149999999999999</v>
      </c>
      <c r="H440" s="85">
        <v>1.5089999999999999</v>
      </c>
      <c r="I440" s="85">
        <v>1.5369999999999999</v>
      </c>
      <c r="J440" s="12">
        <v>914</v>
      </c>
      <c r="K440" s="8">
        <v>0.25624999999999998</v>
      </c>
      <c r="L440" s="6">
        <v>46098</v>
      </c>
      <c r="M440" s="11">
        <v>0.99</v>
      </c>
      <c r="N440" s="108">
        <v>1.335</v>
      </c>
      <c r="O440" s="22">
        <f>+MAX(Tabla4[[#This Row],[6KWA]:[9KWA]])</f>
        <v>1.5409999999999999</v>
      </c>
      <c r="P440" s="3">
        <f t="shared" si="92"/>
        <v>17</v>
      </c>
      <c r="Q440" s="3">
        <f t="shared" si="93"/>
        <v>3</v>
      </c>
      <c r="R440" s="33">
        <f t="shared" si="94"/>
        <v>12</v>
      </c>
      <c r="S440" s="3" t="str">
        <f t="shared" si="95"/>
        <v>marzo</v>
      </c>
      <c r="T440" s="21">
        <f t="shared" si="96"/>
        <v>539.35</v>
      </c>
      <c r="U440" s="21">
        <f t="shared" si="97"/>
        <v>530.25</v>
      </c>
      <c r="V440" s="21">
        <f t="shared" si="98"/>
        <v>528.15</v>
      </c>
      <c r="W440" s="21">
        <f>+Tabla4[[#This Row],[9KWA]]*350</f>
        <v>537.94999999999993</v>
      </c>
      <c r="X440" s="21">
        <f>350*Tabla4[[#This Row],[Max Factor Medido]]</f>
        <v>539.35</v>
      </c>
      <c r="Y440" s="39">
        <v>0.94</v>
      </c>
      <c r="Z440" s="83">
        <f t="shared" si="99"/>
        <v>2026</v>
      </c>
      <c r="AA440" s="74">
        <f>+MEDIAN(Tabla4[[#This Row],[kwreal 6]:[kwreal 9]])</f>
        <v>534.09999999999991</v>
      </c>
      <c r="AB440" s="21">
        <f>+Tabla4[[#This Row],[LineaBase-FD]]/350</f>
        <v>1.5259999999999998</v>
      </c>
    </row>
    <row r="441" spans="1:28" x14ac:dyDescent="0.3">
      <c r="A441" s="29">
        <v>6704</v>
      </c>
      <c r="B441" s="2">
        <v>2026</v>
      </c>
      <c r="C441" s="2">
        <v>798</v>
      </c>
      <c r="D441" s="2">
        <v>3526</v>
      </c>
      <c r="E441" s="2">
        <v>343</v>
      </c>
      <c r="F441" s="96">
        <v>1.5409999999999999</v>
      </c>
      <c r="G441" s="85">
        <v>1.5149999999999999</v>
      </c>
      <c r="H441" s="85">
        <v>1.5089999999999999</v>
      </c>
      <c r="I441" s="85">
        <v>1.5369999999999999</v>
      </c>
      <c r="J441" s="12">
        <v>918</v>
      </c>
      <c r="K441" s="8">
        <v>0.25347222222222221</v>
      </c>
      <c r="L441" s="6">
        <v>46099</v>
      </c>
      <c r="M441" s="11">
        <v>0.98</v>
      </c>
      <c r="N441" s="97">
        <v>1.335</v>
      </c>
      <c r="O441" s="22">
        <f>+MAX(Tabla4[[#This Row],[6KWA]:[9KWA]])</f>
        <v>1.5409999999999999</v>
      </c>
      <c r="P441" s="3">
        <f t="shared" si="92"/>
        <v>18</v>
      </c>
      <c r="Q441" s="3">
        <f t="shared" si="93"/>
        <v>3</v>
      </c>
      <c r="R441" s="33">
        <f t="shared" si="94"/>
        <v>12</v>
      </c>
      <c r="S441" s="3" t="str">
        <f t="shared" si="95"/>
        <v>marzo</v>
      </c>
      <c r="T441" s="21">
        <f t="shared" si="96"/>
        <v>539.35</v>
      </c>
      <c r="U441" s="21">
        <f t="shared" si="97"/>
        <v>530.25</v>
      </c>
      <c r="V441" s="21">
        <f t="shared" si="98"/>
        <v>528.15</v>
      </c>
      <c r="W441" s="21">
        <f>+Tabla4[[#This Row],[9KWA]]*350</f>
        <v>537.94999999999993</v>
      </c>
      <c r="X441" s="21">
        <f>350*Tabla4[[#This Row],[Max Factor Medido]]</f>
        <v>539.35</v>
      </c>
      <c r="Y441" s="39">
        <v>0.94</v>
      </c>
      <c r="Z441" s="83">
        <f t="shared" si="99"/>
        <v>2026</v>
      </c>
      <c r="AA441" s="74">
        <f>+MEDIAN(Tabla4[[#This Row],[kwreal 6]:[kwreal 9]])</f>
        <v>534.09999999999991</v>
      </c>
      <c r="AB441" s="21">
        <f>+Tabla4[[#This Row],[LineaBase-FD]]/350</f>
        <v>1.5259999999999998</v>
      </c>
    </row>
    <row r="442" spans="1:28" x14ac:dyDescent="0.3">
      <c r="A442" s="28">
        <v>6737</v>
      </c>
      <c r="B442" s="3">
        <v>2040</v>
      </c>
      <c r="C442" s="3">
        <v>804</v>
      </c>
      <c r="D442" s="3">
        <v>3549</v>
      </c>
      <c r="E442" s="3">
        <v>343</v>
      </c>
      <c r="F442" s="96">
        <v>1.5409999999999999</v>
      </c>
      <c r="G442" s="85">
        <v>1.5149999999999999</v>
      </c>
      <c r="H442" s="85">
        <v>1.5089999999999999</v>
      </c>
      <c r="I442" s="85">
        <v>1.5369999999999999</v>
      </c>
      <c r="J442" s="20">
        <v>923</v>
      </c>
      <c r="K442" s="8">
        <v>0.24444444444444444</v>
      </c>
      <c r="L442" s="5">
        <v>46100</v>
      </c>
      <c r="M442" s="17">
        <v>0.98</v>
      </c>
      <c r="N442" s="86">
        <v>1.335</v>
      </c>
      <c r="O442" s="22">
        <f>+MAX(Tabla4[[#This Row],[6KWA]:[9KWA]])</f>
        <v>1.5409999999999999</v>
      </c>
      <c r="P442" s="3">
        <f t="shared" si="92"/>
        <v>19</v>
      </c>
      <c r="Q442" s="3">
        <f t="shared" si="93"/>
        <v>3</v>
      </c>
      <c r="R442" s="33">
        <f t="shared" si="94"/>
        <v>12</v>
      </c>
      <c r="S442" s="3" t="str">
        <f t="shared" si="95"/>
        <v>marzo</v>
      </c>
      <c r="T442" s="21">
        <f t="shared" si="96"/>
        <v>539.35</v>
      </c>
      <c r="U442" s="21">
        <f t="shared" si="97"/>
        <v>530.25</v>
      </c>
      <c r="V442" s="21">
        <f t="shared" si="98"/>
        <v>528.15</v>
      </c>
      <c r="W442" s="21">
        <f>+Tabla4[[#This Row],[9KWA]]*350</f>
        <v>537.94999999999993</v>
      </c>
      <c r="X442" s="21">
        <f>350*Tabla4[[#This Row],[Max Factor Medido]]</f>
        <v>539.35</v>
      </c>
      <c r="Y442" s="39">
        <v>0.94</v>
      </c>
      <c r="Z442" s="83">
        <f t="shared" si="99"/>
        <v>2026</v>
      </c>
      <c r="AA442" s="74">
        <f>+MEDIAN(Tabla4[[#This Row],[kwreal 6]:[kwreal 9]])</f>
        <v>534.09999999999991</v>
      </c>
      <c r="AB442" s="21">
        <f>+Tabla4[[#This Row],[LineaBase-FD]]/350</f>
        <v>1.5259999999999998</v>
      </c>
    </row>
    <row r="443" spans="1:28" x14ac:dyDescent="0.3">
      <c r="A443" s="28">
        <v>6770</v>
      </c>
      <c r="B443" s="3">
        <v>2054</v>
      </c>
      <c r="C443" s="3">
        <v>809</v>
      </c>
      <c r="D443" s="3">
        <v>3562</v>
      </c>
      <c r="E443" s="3">
        <v>343</v>
      </c>
      <c r="F443" s="96">
        <v>1.5409999999999999</v>
      </c>
      <c r="G443" s="96">
        <v>1.5149999999999999</v>
      </c>
      <c r="H443" s="96">
        <v>1.5089999999999999</v>
      </c>
      <c r="I443" s="85">
        <v>1.5369999999999999</v>
      </c>
      <c r="J443" s="20">
        <v>928</v>
      </c>
      <c r="K443" s="8">
        <v>0.2361111111111111</v>
      </c>
      <c r="L443" s="5">
        <v>46101</v>
      </c>
      <c r="M443" s="17">
        <v>0.99</v>
      </c>
      <c r="N443" s="86">
        <v>1.3260000000000001</v>
      </c>
      <c r="O443" s="22">
        <f>+MAX(Tabla4[[#This Row],[6KWA]:[9KWA]])</f>
        <v>1.5409999999999999</v>
      </c>
      <c r="P443" s="3">
        <f t="shared" si="92"/>
        <v>20</v>
      </c>
      <c r="Q443" s="3">
        <f t="shared" si="93"/>
        <v>3</v>
      </c>
      <c r="R443" s="33">
        <f t="shared" si="94"/>
        <v>12</v>
      </c>
      <c r="S443" s="3" t="str">
        <f t="shared" si="95"/>
        <v>marzo</v>
      </c>
      <c r="T443" s="21">
        <f t="shared" si="96"/>
        <v>539.35</v>
      </c>
      <c r="U443" s="21">
        <f t="shared" si="97"/>
        <v>530.25</v>
      </c>
      <c r="V443" s="21">
        <f t="shared" si="98"/>
        <v>528.15</v>
      </c>
      <c r="W443" s="21">
        <f>+Tabla4[[#This Row],[9KWA]]*350</f>
        <v>537.94999999999993</v>
      </c>
      <c r="X443" s="21">
        <f>350*Tabla4[[#This Row],[Max Factor Medido]]</f>
        <v>539.35</v>
      </c>
      <c r="Y443" s="39">
        <v>0.94</v>
      </c>
      <c r="Z443" s="83">
        <f t="shared" si="99"/>
        <v>2026</v>
      </c>
      <c r="AA443" s="74">
        <f>+MEDIAN(Tabla4[[#This Row],[kwreal 6]:[kwreal 9]])</f>
        <v>534.09999999999991</v>
      </c>
      <c r="AB443" s="21">
        <f>+Tabla4[[#This Row],[LineaBase-FD]]/350</f>
        <v>1.5259999999999998</v>
      </c>
    </row>
    <row r="444" spans="1:28" x14ac:dyDescent="0.3">
      <c r="A444" s="28">
        <v>6803</v>
      </c>
      <c r="B444" s="3">
        <v>2067</v>
      </c>
      <c r="C444" s="3">
        <v>815</v>
      </c>
      <c r="D444" s="3">
        <v>3576</v>
      </c>
      <c r="E444" s="3">
        <v>343</v>
      </c>
      <c r="F444" s="85">
        <v>1.5409999999999999</v>
      </c>
      <c r="G444" s="85">
        <v>1.5149999999999999</v>
      </c>
      <c r="H444" s="85">
        <v>1.5089999999999999</v>
      </c>
      <c r="I444" s="85">
        <v>1.5369999999999999</v>
      </c>
      <c r="J444" s="20">
        <v>933</v>
      </c>
      <c r="K444" s="8">
        <v>0.24722222222222223</v>
      </c>
      <c r="L444" s="5">
        <v>46102</v>
      </c>
      <c r="M444" s="17">
        <v>0.99</v>
      </c>
      <c r="N444" s="86">
        <v>1.278</v>
      </c>
      <c r="O444" s="22">
        <f>+MAX(Tabla4[[#This Row],[6KWA]:[9KWA]])</f>
        <v>1.5409999999999999</v>
      </c>
      <c r="P444" s="3">
        <f t="shared" si="92"/>
        <v>21</v>
      </c>
      <c r="Q444" s="3">
        <f t="shared" si="93"/>
        <v>3</v>
      </c>
      <c r="R444" s="33">
        <f t="shared" si="94"/>
        <v>12</v>
      </c>
      <c r="S444" s="3" t="str">
        <f t="shared" si="95"/>
        <v>marzo</v>
      </c>
      <c r="T444" s="21">
        <f t="shared" si="96"/>
        <v>539.35</v>
      </c>
      <c r="U444" s="21">
        <f t="shared" si="97"/>
        <v>530.25</v>
      </c>
      <c r="V444" s="21">
        <f t="shared" si="98"/>
        <v>528.15</v>
      </c>
      <c r="W444" s="21">
        <f>+Tabla4[[#This Row],[9KWA]]*350</f>
        <v>537.94999999999993</v>
      </c>
      <c r="X444" s="21">
        <f>350*Tabla4[[#This Row],[Max Factor Medido]]</f>
        <v>539.35</v>
      </c>
      <c r="Y444" s="39">
        <v>0.94</v>
      </c>
      <c r="Z444" s="83">
        <f t="shared" si="99"/>
        <v>2026</v>
      </c>
      <c r="AA444" s="74">
        <f>+MEDIAN(Tabla4[[#This Row],[kwreal 6]:[kwreal 9]])</f>
        <v>534.09999999999991</v>
      </c>
      <c r="AB444" s="21">
        <f>+Tabla4[[#This Row],[LineaBase-FD]]/350</f>
        <v>1.5259999999999998</v>
      </c>
    </row>
    <row r="445" spans="1:28" x14ac:dyDescent="0.3">
      <c r="A445" s="28">
        <v>6836</v>
      </c>
      <c r="B445" s="3">
        <v>2067</v>
      </c>
      <c r="C445" s="3">
        <v>815</v>
      </c>
      <c r="D445" s="3">
        <v>3603</v>
      </c>
      <c r="E445" s="3">
        <v>348</v>
      </c>
      <c r="F445" s="85">
        <v>1.5409999999999999</v>
      </c>
      <c r="G445" s="85">
        <v>1.5149999999999999</v>
      </c>
      <c r="H445" s="85">
        <v>1.5089999999999999</v>
      </c>
      <c r="I445" s="85">
        <v>1.5369999999999999</v>
      </c>
      <c r="J445" s="20">
        <v>938</v>
      </c>
      <c r="K445" s="8">
        <v>0.24861111111111112</v>
      </c>
      <c r="L445" s="5">
        <v>46103</v>
      </c>
      <c r="M445" s="17">
        <v>0.98</v>
      </c>
      <c r="N445" s="86">
        <v>1.33</v>
      </c>
      <c r="O445" s="22">
        <f>+MAX(Tabla4[[#This Row],[6KWA]:[9KWA]])</f>
        <v>1.5409999999999999</v>
      </c>
      <c r="P445" s="3">
        <f t="shared" si="92"/>
        <v>22</v>
      </c>
      <c r="Q445" s="3">
        <f t="shared" si="93"/>
        <v>3</v>
      </c>
      <c r="R445" s="33">
        <f t="shared" si="94"/>
        <v>13</v>
      </c>
      <c r="S445" s="3" t="str">
        <f t="shared" si="95"/>
        <v>marzo</v>
      </c>
      <c r="T445" s="21">
        <f t="shared" si="96"/>
        <v>539.35</v>
      </c>
      <c r="U445" s="21">
        <f t="shared" si="97"/>
        <v>530.25</v>
      </c>
      <c r="V445" s="21">
        <f t="shared" si="98"/>
        <v>528.15</v>
      </c>
      <c r="W445" s="21">
        <f>+Tabla4[[#This Row],[9KWA]]*350</f>
        <v>537.94999999999993</v>
      </c>
      <c r="X445" s="21">
        <f>350*Tabla4[[#This Row],[Max Factor Medido]]</f>
        <v>539.35</v>
      </c>
      <c r="Y445" s="39">
        <v>0.94</v>
      </c>
      <c r="Z445" s="83">
        <f t="shared" si="99"/>
        <v>2026</v>
      </c>
      <c r="AA445" s="74">
        <f>+MEDIAN(Tabla4[[#This Row],[kwreal 6]:[kwreal 9]])</f>
        <v>534.09999999999991</v>
      </c>
      <c r="AB445" s="21">
        <f>+Tabla4[[#This Row],[LineaBase-FD]]/350</f>
        <v>1.5259999999999998</v>
      </c>
    </row>
    <row r="446" spans="1:28" x14ac:dyDescent="0.3">
      <c r="A446" s="28">
        <v>6868</v>
      </c>
      <c r="B446" s="3">
        <v>2067</v>
      </c>
      <c r="C446" s="3">
        <v>815</v>
      </c>
      <c r="D446" s="3">
        <v>3631</v>
      </c>
      <c r="E446" s="3">
        <v>354</v>
      </c>
      <c r="F446" s="85">
        <v>1.5409999999999999</v>
      </c>
      <c r="G446" s="85">
        <v>1.5149999999999999</v>
      </c>
      <c r="H446" s="85">
        <v>1.5089999999999999</v>
      </c>
      <c r="I446" s="85">
        <v>1.5369999999999999</v>
      </c>
      <c r="J446" s="20">
        <v>944</v>
      </c>
      <c r="K446" s="8">
        <v>0.24791666666666667</v>
      </c>
      <c r="L446" s="5">
        <v>46104</v>
      </c>
      <c r="M446" s="17">
        <v>0.98</v>
      </c>
      <c r="N446" s="86">
        <v>1.3740000000000001</v>
      </c>
      <c r="O446" s="22">
        <f>+MAX(Tabla4[[#This Row],[6KWA]:[9KWA]])</f>
        <v>1.5409999999999999</v>
      </c>
      <c r="P446" s="3">
        <f t="shared" si="92"/>
        <v>23</v>
      </c>
      <c r="Q446" s="3">
        <f t="shared" si="93"/>
        <v>3</v>
      </c>
      <c r="R446" s="33">
        <f t="shared" si="94"/>
        <v>13</v>
      </c>
      <c r="S446" s="3" t="str">
        <f t="shared" si="95"/>
        <v>marzo</v>
      </c>
      <c r="T446" s="21">
        <f t="shared" si="96"/>
        <v>539.35</v>
      </c>
      <c r="U446" s="21">
        <f t="shared" si="97"/>
        <v>530.25</v>
      </c>
      <c r="V446" s="21">
        <f t="shared" si="98"/>
        <v>528.15</v>
      </c>
      <c r="W446" s="21">
        <f>+Tabla4[[#This Row],[9KWA]]*350</f>
        <v>537.94999999999993</v>
      </c>
      <c r="X446" s="21">
        <f>350*Tabla4[[#This Row],[Max Factor Medido]]</f>
        <v>539.35</v>
      </c>
      <c r="Y446" s="39">
        <v>0.94</v>
      </c>
      <c r="Z446" s="83">
        <f t="shared" si="99"/>
        <v>2026</v>
      </c>
      <c r="AA446" s="74">
        <f>+MEDIAN(Tabla4[[#This Row],[kwreal 6]:[kwreal 9]])</f>
        <v>534.09999999999991</v>
      </c>
      <c r="AB446" s="21">
        <f>+Tabla4[[#This Row],[LineaBase-FD]]/350</f>
        <v>1.5259999999999998</v>
      </c>
    </row>
    <row r="447" spans="1:28" x14ac:dyDescent="0.3">
      <c r="A447" s="32">
        <v>6893</v>
      </c>
      <c r="B447" s="33">
        <v>2082</v>
      </c>
      <c r="C447" s="33">
        <v>815</v>
      </c>
      <c r="D447" s="33">
        <v>3643</v>
      </c>
      <c r="E447" s="33">
        <v>354</v>
      </c>
      <c r="F447" s="87">
        <v>1.5409999999999999</v>
      </c>
      <c r="G447" s="87">
        <v>1.5149999999999999</v>
      </c>
      <c r="H447" s="87">
        <v>1.5089999999999999</v>
      </c>
      <c r="I447" s="87">
        <v>1.5369999999999999</v>
      </c>
      <c r="J447" s="34">
        <v>949</v>
      </c>
      <c r="K447" s="35">
        <v>0.25138888888888888</v>
      </c>
      <c r="L447" s="36">
        <v>46105</v>
      </c>
      <c r="M447" s="37">
        <v>0.98</v>
      </c>
      <c r="N447" s="86">
        <v>1.3740000000000001</v>
      </c>
      <c r="O447" s="38">
        <f>+MAX(Tabla4[[#This Row],[6KWA]:[9KWA]])</f>
        <v>1.5409999999999999</v>
      </c>
      <c r="P447" s="33">
        <f t="shared" si="92"/>
        <v>24</v>
      </c>
      <c r="Q447" s="33">
        <f t="shared" si="93"/>
        <v>3</v>
      </c>
      <c r="R447" s="33">
        <f t="shared" si="94"/>
        <v>13</v>
      </c>
      <c r="S447" s="33" t="str">
        <f t="shared" si="95"/>
        <v>marzo</v>
      </c>
      <c r="T447" s="39">
        <f t="shared" si="96"/>
        <v>539.35</v>
      </c>
      <c r="U447" s="39">
        <f t="shared" si="97"/>
        <v>530.25</v>
      </c>
      <c r="V447" s="39">
        <f t="shared" si="98"/>
        <v>528.15</v>
      </c>
      <c r="W447" s="39">
        <f>+Tabla4[[#This Row],[9KWA]]*350</f>
        <v>537.94999999999993</v>
      </c>
      <c r="X447" s="39">
        <f>350*Tabla4[[#This Row],[Max Factor Medido]]</f>
        <v>539.35</v>
      </c>
      <c r="Y447" s="39">
        <v>0.94</v>
      </c>
      <c r="Z447" s="107">
        <f t="shared" si="99"/>
        <v>2026</v>
      </c>
      <c r="AA447" s="89">
        <f>+MEDIAN(Tabla4[[#This Row],[kwreal 6]:[kwreal 9]])</f>
        <v>534.09999999999991</v>
      </c>
      <c r="AB447" s="39">
        <f>+Tabla4[[#This Row],[LineaBase-FD]]/350</f>
        <v>1.5259999999999998</v>
      </c>
    </row>
  </sheetData>
  <phoneticPr fontId="4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F108-8732-43C4-A428-DC84CC836089}">
  <dimension ref="A6:G20"/>
  <sheetViews>
    <sheetView zoomScaleNormal="100" workbookViewId="0">
      <selection activeCell="D15" sqref="D15"/>
    </sheetView>
  </sheetViews>
  <sheetFormatPr baseColWidth="10" defaultColWidth="11.44140625" defaultRowHeight="14.4" x14ac:dyDescent="0.3"/>
  <cols>
    <col min="1" max="1" width="12.6640625" style="18" bestFit="1" customWidth="1"/>
    <col min="2" max="4" width="6" style="18" bestFit="1" customWidth="1"/>
    <col min="5" max="5" width="8" style="18" bestFit="1" customWidth="1"/>
    <col min="6" max="6" width="9.21875" style="18" bestFit="1" customWidth="1"/>
    <col min="7" max="7" width="7.21875" style="18" bestFit="1" customWidth="1"/>
    <col min="8" max="8" width="16.88671875" style="18" bestFit="1" customWidth="1"/>
    <col min="9" max="11" width="17.33203125" style="18" bestFit="1" customWidth="1"/>
    <col min="12" max="52" width="22.44140625" style="18" bestFit="1" customWidth="1"/>
    <col min="53" max="56" width="23.44140625" style="18" bestFit="1" customWidth="1"/>
    <col min="57" max="16384" width="11.44140625" style="18"/>
  </cols>
  <sheetData>
    <row r="6" spans="1:7" ht="42" x14ac:dyDescent="0.3">
      <c r="A6" s="23" t="s">
        <v>183</v>
      </c>
      <c r="B6" s="23" t="s">
        <v>184</v>
      </c>
      <c r="C6" s="23" t="s">
        <v>185</v>
      </c>
      <c r="D6" s="23" t="s">
        <v>186</v>
      </c>
      <c r="E6" s="23" t="s">
        <v>187</v>
      </c>
      <c r="F6" s="40" t="s">
        <v>188</v>
      </c>
      <c r="G6" s="76" t="s">
        <v>189</v>
      </c>
    </row>
    <row r="7" spans="1:7" x14ac:dyDescent="0.3">
      <c r="A7" s="24">
        <v>2025</v>
      </c>
      <c r="B7" s="25">
        <v>549.15</v>
      </c>
      <c r="C7" s="25">
        <v>542.85</v>
      </c>
      <c r="D7" s="25">
        <v>565.25</v>
      </c>
      <c r="E7" s="25">
        <v>526.04999999999995</v>
      </c>
      <c r="F7" s="25">
        <v>565.25</v>
      </c>
      <c r="G7" s="25">
        <v>546</v>
      </c>
    </row>
    <row r="8" spans="1:7" x14ac:dyDescent="0.3">
      <c r="A8" s="93" t="s">
        <v>193</v>
      </c>
      <c r="B8" s="94">
        <v>549.15</v>
      </c>
      <c r="C8" s="94">
        <v>542.85</v>
      </c>
      <c r="D8" s="94">
        <v>565.25</v>
      </c>
      <c r="E8" s="94">
        <v>526.04999999999995</v>
      </c>
      <c r="F8" s="94">
        <v>565.25</v>
      </c>
      <c r="G8" s="94">
        <v>546</v>
      </c>
    </row>
    <row r="9" spans="1:7" x14ac:dyDescent="0.3">
      <c r="A9" s="24">
        <v>2026</v>
      </c>
      <c r="B9" s="25">
        <v>539.35</v>
      </c>
      <c r="C9" s="25">
        <v>530.25</v>
      </c>
      <c r="D9" s="25">
        <v>528.15</v>
      </c>
      <c r="E9" s="25">
        <v>537.94999999999993</v>
      </c>
      <c r="F9" s="25">
        <v>539.35</v>
      </c>
      <c r="G9" s="25">
        <v>534.09999999999991</v>
      </c>
    </row>
    <row r="10" spans="1:7" x14ac:dyDescent="0.3">
      <c r="A10" s="93" t="s">
        <v>193</v>
      </c>
      <c r="B10" s="94">
        <v>539.35</v>
      </c>
      <c r="C10" s="94">
        <v>530.25</v>
      </c>
      <c r="D10" s="94">
        <v>528.15</v>
      </c>
      <c r="E10" s="94">
        <v>537.94999999999993</v>
      </c>
      <c r="F10" s="94">
        <v>539.35</v>
      </c>
      <c r="G10" s="94">
        <v>534.09999999999991</v>
      </c>
    </row>
    <row r="11" spans="1:7" x14ac:dyDescent="0.3">
      <c r="A11" s="26" t="s">
        <v>190</v>
      </c>
      <c r="B11" s="27">
        <v>549.15</v>
      </c>
      <c r="C11" s="27">
        <v>542.85</v>
      </c>
      <c r="D11" s="27">
        <v>565.25</v>
      </c>
      <c r="E11" s="27">
        <v>537.94999999999993</v>
      </c>
      <c r="F11" s="27">
        <v>557.48000000000013</v>
      </c>
      <c r="G11" s="27">
        <v>542.43000000000006</v>
      </c>
    </row>
    <row r="12" spans="1:7" x14ac:dyDescent="0.3">
      <c r="A12"/>
      <c r="B12"/>
      <c r="C12"/>
      <c r="D12"/>
      <c r="E12"/>
      <c r="F12"/>
      <c r="G12"/>
    </row>
    <row r="13" spans="1:7" x14ac:dyDescent="0.3">
      <c r="A13"/>
      <c r="B13"/>
      <c r="C13"/>
      <c r="D13"/>
      <c r="E13"/>
      <c r="F13"/>
      <c r="G13"/>
    </row>
    <row r="14" spans="1:7" x14ac:dyDescent="0.3">
      <c r="A14"/>
      <c r="B14"/>
      <c r="C14"/>
      <c r="D14"/>
      <c r="E14"/>
      <c r="F14"/>
      <c r="G14"/>
    </row>
    <row r="15" spans="1:7" x14ac:dyDescent="0.3">
      <c r="A15"/>
      <c r="B15"/>
      <c r="C15"/>
      <c r="D15"/>
      <c r="E15"/>
      <c r="F15"/>
      <c r="G15"/>
    </row>
    <row r="16" spans="1:7" x14ac:dyDescent="0.3">
      <c r="A16"/>
      <c r="B16"/>
      <c r="C16"/>
      <c r="D16"/>
      <c r="E16"/>
      <c r="F16"/>
      <c r="G16"/>
    </row>
    <row r="17" spans="1:7" x14ac:dyDescent="0.3">
      <c r="A17"/>
      <c r="B17"/>
      <c r="C17"/>
      <c r="D17"/>
      <c r="E17"/>
      <c r="F17"/>
      <c r="G17"/>
    </row>
    <row r="18" spans="1:7" x14ac:dyDescent="0.3">
      <c r="A18"/>
      <c r="B18"/>
      <c r="C18"/>
      <c r="D18"/>
      <c r="E18"/>
      <c r="F18"/>
      <c r="G18"/>
    </row>
    <row r="19" spans="1:7" x14ac:dyDescent="0.3">
      <c r="A19"/>
      <c r="B19"/>
      <c r="C19"/>
      <c r="D19"/>
      <c r="E19"/>
      <c r="F19"/>
      <c r="G19"/>
    </row>
    <row r="20" spans="1:7" x14ac:dyDescent="0.3">
      <c r="A20"/>
      <c r="B20"/>
      <c r="C20"/>
      <c r="D20"/>
      <c r="E20"/>
      <c r="F20"/>
      <c r="G20"/>
    </row>
  </sheetData>
  <conditionalFormatting sqref="A18:A19 A6:G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8:G8 B10:G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F0C6-80EF-403D-99DF-36BDA6FC5517}">
  <dimension ref="A4:G84"/>
  <sheetViews>
    <sheetView zoomScaleNormal="100" workbookViewId="0">
      <selection activeCell="A10" sqref="A10"/>
    </sheetView>
  </sheetViews>
  <sheetFormatPr baseColWidth="10" defaultColWidth="11.44140625" defaultRowHeight="14.4" x14ac:dyDescent="0.3"/>
  <cols>
    <col min="1" max="1" width="8.6640625" style="18" bestFit="1" customWidth="1"/>
    <col min="2" max="4" width="6" style="18" bestFit="1" customWidth="1"/>
    <col min="5" max="5" width="4.77734375" style="18" bestFit="1" customWidth="1"/>
    <col min="6" max="6" width="8.6640625" style="18" bestFit="1" customWidth="1"/>
    <col min="7" max="7" width="8.109375" style="18" bestFit="1" customWidth="1"/>
    <col min="8" max="51" width="22.44140625" style="18" bestFit="1" customWidth="1"/>
    <col min="52" max="55" width="23.44140625" style="18" bestFit="1" customWidth="1"/>
    <col min="56" max="16384" width="11.44140625" style="18"/>
  </cols>
  <sheetData>
    <row r="4" spans="1:7" ht="22.5" customHeight="1" x14ac:dyDescent="0.3"/>
    <row r="5" spans="1:7" ht="42" x14ac:dyDescent="0.3">
      <c r="A5" s="23" t="s">
        <v>17</v>
      </c>
      <c r="B5" s="23" t="s">
        <v>184</v>
      </c>
      <c r="C5" s="23" t="s">
        <v>185</v>
      </c>
      <c r="D5" s="23" t="s">
        <v>186</v>
      </c>
      <c r="E5" s="23" t="s">
        <v>187</v>
      </c>
      <c r="F5" s="40" t="s">
        <v>191</v>
      </c>
      <c r="G5" s="40" t="s">
        <v>192</v>
      </c>
    </row>
    <row r="6" spans="1:7" x14ac:dyDescent="0.3">
      <c r="A6" s="24">
        <v>2025</v>
      </c>
      <c r="B6" s="95">
        <v>1.569</v>
      </c>
      <c r="C6" s="95">
        <v>1.5509999999999999</v>
      </c>
      <c r="D6" s="95">
        <v>1.615</v>
      </c>
      <c r="E6" s="95">
        <v>1.5029999999999999</v>
      </c>
      <c r="F6" s="95">
        <v>1.615</v>
      </c>
      <c r="G6" s="95">
        <v>1.5600000000000003</v>
      </c>
    </row>
    <row r="7" spans="1:7" x14ac:dyDescent="0.3">
      <c r="A7" s="93" t="s">
        <v>193</v>
      </c>
      <c r="B7" s="95">
        <v>1.569</v>
      </c>
      <c r="C7" s="95">
        <v>1.5509999999999999</v>
      </c>
      <c r="D7" s="95">
        <v>1.615</v>
      </c>
      <c r="E7" s="95">
        <v>1.5029999999999999</v>
      </c>
      <c r="F7" s="95">
        <v>1.615</v>
      </c>
      <c r="G7" s="95">
        <v>1.5600000000000003</v>
      </c>
    </row>
    <row r="8" spans="1:7" x14ac:dyDescent="0.3">
      <c r="A8" s="24">
        <v>2026</v>
      </c>
      <c r="B8" s="95">
        <v>1.5409999999999999</v>
      </c>
      <c r="C8" s="95">
        <v>1.5149999999999999</v>
      </c>
      <c r="D8" s="95">
        <v>1.5089999999999999</v>
      </c>
      <c r="E8" s="95">
        <v>1.5369999999999999</v>
      </c>
      <c r="F8" s="95">
        <v>1.5409999999999997</v>
      </c>
      <c r="G8" s="95">
        <v>1.5259999999999998</v>
      </c>
    </row>
    <row r="9" spans="1:7" x14ac:dyDescent="0.3">
      <c r="A9" s="93" t="s">
        <v>193</v>
      </c>
      <c r="B9" s="95">
        <v>1.5409999999999999</v>
      </c>
      <c r="C9" s="95">
        <v>1.5149999999999999</v>
      </c>
      <c r="D9" s="95">
        <v>1.5089999999999999</v>
      </c>
      <c r="E9" s="95">
        <v>1.5369999999999999</v>
      </c>
      <c r="F9" s="95">
        <v>1.5409999999999997</v>
      </c>
      <c r="G9" s="95">
        <v>1.5259999999999998</v>
      </c>
    </row>
    <row r="10" spans="1:7" x14ac:dyDescent="0.3">
      <c r="A10" s="26" t="s">
        <v>190</v>
      </c>
      <c r="B10" s="110">
        <v>1.569</v>
      </c>
      <c r="C10" s="110">
        <v>1.5509999999999999</v>
      </c>
      <c r="D10" s="110">
        <v>1.615</v>
      </c>
      <c r="E10" s="110">
        <v>1.5369999999999999</v>
      </c>
      <c r="F10" s="110">
        <v>1.5928</v>
      </c>
      <c r="G10" s="110">
        <v>1.5498000000000001</v>
      </c>
    </row>
    <row r="11" spans="1:7" x14ac:dyDescent="0.3">
      <c r="A11"/>
      <c r="B11"/>
      <c r="C11"/>
      <c r="D11"/>
      <c r="E11"/>
      <c r="F11"/>
      <c r="G11"/>
    </row>
    <row r="12" spans="1:7" x14ac:dyDescent="0.3">
      <c r="A12"/>
      <c r="B12"/>
      <c r="C12"/>
      <c r="D12"/>
      <c r="E12"/>
      <c r="F12"/>
      <c r="G12"/>
    </row>
    <row r="13" spans="1:7" x14ac:dyDescent="0.3">
      <c r="A13"/>
      <c r="B13"/>
      <c r="C13"/>
      <c r="D13"/>
      <c r="E13"/>
      <c r="F13"/>
      <c r="G13"/>
    </row>
    <row r="14" spans="1:7" x14ac:dyDescent="0.3">
      <c r="A14"/>
      <c r="B14"/>
      <c r="C14"/>
      <c r="D14"/>
      <c r="E14"/>
      <c r="F14"/>
      <c r="G14"/>
    </row>
    <row r="15" spans="1:7" x14ac:dyDescent="0.3">
      <c r="A15"/>
      <c r="B15"/>
      <c r="C15"/>
      <c r="D15"/>
      <c r="E15"/>
      <c r="F15"/>
      <c r="G15"/>
    </row>
    <row r="16" spans="1:7" x14ac:dyDescent="0.3">
      <c r="A16"/>
      <c r="B16"/>
      <c r="C16"/>
      <c r="D16"/>
      <c r="E16"/>
      <c r="F16"/>
      <c r="G16"/>
    </row>
    <row r="17" spans="1:7" x14ac:dyDescent="0.3">
      <c r="A17"/>
      <c r="B17"/>
      <c r="C17"/>
      <c r="D17"/>
      <c r="E17"/>
      <c r="F17"/>
      <c r="G17"/>
    </row>
    <row r="18" spans="1:7" x14ac:dyDescent="0.3">
      <c r="A18"/>
      <c r="B18"/>
      <c r="C18"/>
      <c r="D18"/>
      <c r="E18"/>
      <c r="F18"/>
      <c r="G18"/>
    </row>
    <row r="19" spans="1:7" x14ac:dyDescent="0.3">
      <c r="A19"/>
      <c r="B19"/>
      <c r="C19"/>
      <c r="D19"/>
      <c r="E19"/>
      <c r="F19"/>
      <c r="G19"/>
    </row>
    <row r="20" spans="1:7" x14ac:dyDescent="0.3">
      <c r="A20"/>
      <c r="B20"/>
      <c r="C20"/>
      <c r="D20"/>
      <c r="E20"/>
      <c r="F20"/>
      <c r="G20"/>
    </row>
    <row r="21" spans="1:7" x14ac:dyDescent="0.3">
      <c r="A21"/>
      <c r="B21"/>
      <c r="C21"/>
      <c r="D21"/>
      <c r="E21"/>
      <c r="F21"/>
      <c r="G21"/>
    </row>
    <row r="22" spans="1:7" x14ac:dyDescent="0.3">
      <c r="A22"/>
      <c r="B22"/>
      <c r="C22"/>
      <c r="D22"/>
      <c r="E22"/>
      <c r="F22"/>
      <c r="G22"/>
    </row>
    <row r="23" spans="1:7" x14ac:dyDescent="0.3">
      <c r="A23"/>
      <c r="B23"/>
      <c r="C23"/>
      <c r="D23"/>
      <c r="E23"/>
      <c r="F23"/>
      <c r="G23"/>
    </row>
    <row r="24" spans="1:7" x14ac:dyDescent="0.3">
      <c r="A24"/>
      <c r="B24"/>
      <c r="C24"/>
      <c r="D24"/>
      <c r="E24"/>
      <c r="F24"/>
      <c r="G24"/>
    </row>
    <row r="25" spans="1:7" x14ac:dyDescent="0.3">
      <c r="A25"/>
      <c r="B25"/>
      <c r="C25"/>
      <c r="D25"/>
      <c r="E25"/>
      <c r="F25"/>
      <c r="G25"/>
    </row>
    <row r="26" spans="1:7" x14ac:dyDescent="0.3">
      <c r="A26"/>
      <c r="B26"/>
      <c r="C26"/>
      <c r="D26"/>
      <c r="E26"/>
      <c r="F26"/>
      <c r="G26"/>
    </row>
    <row r="27" spans="1:7" x14ac:dyDescent="0.3">
      <c r="A27"/>
      <c r="B27"/>
      <c r="C27"/>
      <c r="D27"/>
      <c r="E27"/>
      <c r="F27"/>
      <c r="G27"/>
    </row>
    <row r="28" spans="1:7" x14ac:dyDescent="0.3">
      <c r="A28"/>
      <c r="B28"/>
      <c r="C28"/>
      <c r="D28"/>
      <c r="E28"/>
      <c r="F28"/>
      <c r="G28"/>
    </row>
    <row r="29" spans="1:7" x14ac:dyDescent="0.3">
      <c r="A29"/>
      <c r="B29"/>
      <c r="C29"/>
      <c r="D29"/>
      <c r="E29"/>
      <c r="F29"/>
      <c r="G29"/>
    </row>
    <row r="30" spans="1:7" x14ac:dyDescent="0.3">
      <c r="A30"/>
      <c r="B30"/>
      <c r="C30"/>
      <c r="D30"/>
      <c r="E30"/>
      <c r="F30"/>
      <c r="G30"/>
    </row>
    <row r="31" spans="1:7" x14ac:dyDescent="0.3">
      <c r="A31"/>
      <c r="B31"/>
      <c r="C31"/>
      <c r="D31"/>
      <c r="E31"/>
      <c r="F31"/>
      <c r="G31"/>
    </row>
    <row r="32" spans="1:7" x14ac:dyDescent="0.3">
      <c r="A32"/>
      <c r="B32"/>
      <c r="C32"/>
      <c r="D32"/>
      <c r="E32"/>
      <c r="F32"/>
      <c r="G32"/>
    </row>
    <row r="33" spans="1:7" x14ac:dyDescent="0.3">
      <c r="A33"/>
      <c r="B33"/>
      <c r="C33"/>
      <c r="D33"/>
      <c r="E33"/>
      <c r="F33"/>
      <c r="G33"/>
    </row>
    <row r="34" spans="1:7" x14ac:dyDescent="0.3">
      <c r="A34"/>
      <c r="B34"/>
      <c r="C34"/>
      <c r="D34"/>
      <c r="E34"/>
      <c r="F34"/>
      <c r="G34"/>
    </row>
    <row r="35" spans="1:7" x14ac:dyDescent="0.3">
      <c r="A35"/>
      <c r="B35"/>
      <c r="C35"/>
      <c r="D35"/>
      <c r="E35"/>
      <c r="F35"/>
      <c r="G35"/>
    </row>
    <row r="36" spans="1:7" x14ac:dyDescent="0.3">
      <c r="A36"/>
      <c r="B36"/>
      <c r="C36"/>
      <c r="D36"/>
      <c r="E36"/>
      <c r="F36"/>
      <c r="G36"/>
    </row>
    <row r="37" spans="1:7" x14ac:dyDescent="0.3">
      <c r="A37"/>
      <c r="B37"/>
      <c r="C37"/>
      <c r="D37"/>
      <c r="E37"/>
      <c r="F37"/>
      <c r="G37"/>
    </row>
    <row r="38" spans="1:7" x14ac:dyDescent="0.3">
      <c r="A38"/>
      <c r="B38"/>
      <c r="C38"/>
      <c r="D38"/>
      <c r="E38"/>
      <c r="F38"/>
      <c r="G38"/>
    </row>
    <row r="39" spans="1:7" x14ac:dyDescent="0.3">
      <c r="A39"/>
      <c r="B39"/>
      <c r="C39"/>
      <c r="D39"/>
      <c r="E39"/>
      <c r="F39"/>
      <c r="G39"/>
    </row>
    <row r="40" spans="1:7" x14ac:dyDescent="0.3">
      <c r="A40"/>
      <c r="B40"/>
      <c r="C40"/>
      <c r="D40"/>
      <c r="E40"/>
      <c r="F40"/>
      <c r="G40"/>
    </row>
    <row r="41" spans="1:7" x14ac:dyDescent="0.3">
      <c r="A41"/>
      <c r="B41"/>
      <c r="C41"/>
      <c r="D41"/>
      <c r="E41"/>
      <c r="F41"/>
      <c r="G41"/>
    </row>
    <row r="42" spans="1:7" x14ac:dyDescent="0.3">
      <c r="A42"/>
      <c r="B42"/>
      <c r="C42"/>
      <c r="D42"/>
      <c r="E42"/>
      <c r="F42"/>
      <c r="G42"/>
    </row>
    <row r="43" spans="1:7" x14ac:dyDescent="0.3">
      <c r="A43"/>
      <c r="B43"/>
      <c r="C43"/>
      <c r="D43"/>
      <c r="E43"/>
      <c r="F43"/>
      <c r="G43"/>
    </row>
    <row r="44" spans="1:7" x14ac:dyDescent="0.3">
      <c r="A44"/>
      <c r="B44"/>
      <c r="C44"/>
      <c r="D44"/>
      <c r="E44"/>
      <c r="F44"/>
      <c r="G44"/>
    </row>
    <row r="45" spans="1:7" x14ac:dyDescent="0.3">
      <c r="A45"/>
      <c r="B45"/>
      <c r="C45"/>
      <c r="D45"/>
      <c r="E45"/>
      <c r="F45"/>
      <c r="G45"/>
    </row>
    <row r="46" spans="1:7" x14ac:dyDescent="0.3">
      <c r="A46"/>
      <c r="B46"/>
      <c r="C46"/>
      <c r="D46"/>
      <c r="E46"/>
      <c r="F46"/>
      <c r="G46"/>
    </row>
    <row r="47" spans="1:7" x14ac:dyDescent="0.3">
      <c r="A47"/>
      <c r="B47"/>
      <c r="C47"/>
      <c r="D47"/>
      <c r="E47"/>
      <c r="F47"/>
      <c r="G47"/>
    </row>
    <row r="48" spans="1:7" x14ac:dyDescent="0.3">
      <c r="A48"/>
      <c r="B48"/>
      <c r="C48"/>
      <c r="D48"/>
      <c r="E48"/>
      <c r="F48"/>
      <c r="G48"/>
    </row>
    <row r="49" spans="1:7" x14ac:dyDescent="0.3">
      <c r="A49"/>
      <c r="B49"/>
      <c r="C49"/>
      <c r="D49"/>
      <c r="E49"/>
      <c r="F49"/>
      <c r="G49"/>
    </row>
    <row r="50" spans="1:7" x14ac:dyDescent="0.3">
      <c r="A50"/>
      <c r="B50"/>
      <c r="C50"/>
      <c r="D50"/>
      <c r="E50"/>
      <c r="F50"/>
      <c r="G50"/>
    </row>
    <row r="51" spans="1:7" x14ac:dyDescent="0.3">
      <c r="A51"/>
      <c r="B51"/>
      <c r="C51"/>
      <c r="D51"/>
      <c r="E51"/>
      <c r="F51"/>
      <c r="G51"/>
    </row>
    <row r="52" spans="1:7" x14ac:dyDescent="0.3">
      <c r="A52"/>
      <c r="B52"/>
      <c r="C52"/>
      <c r="D52"/>
      <c r="E52"/>
      <c r="F52"/>
      <c r="G52"/>
    </row>
    <row r="53" spans="1:7" x14ac:dyDescent="0.3">
      <c r="A53"/>
      <c r="B53"/>
      <c r="C53"/>
      <c r="D53"/>
      <c r="E53"/>
      <c r="F53"/>
      <c r="G53"/>
    </row>
    <row r="54" spans="1:7" x14ac:dyDescent="0.3">
      <c r="A54"/>
      <c r="B54"/>
      <c r="C54"/>
      <c r="D54"/>
      <c r="E54"/>
      <c r="F54"/>
      <c r="G54"/>
    </row>
    <row r="55" spans="1:7" x14ac:dyDescent="0.3">
      <c r="A55"/>
      <c r="B55"/>
      <c r="C55"/>
      <c r="D55"/>
      <c r="E55"/>
      <c r="F55"/>
      <c r="G55"/>
    </row>
    <row r="56" spans="1:7" x14ac:dyDescent="0.3">
      <c r="A56"/>
      <c r="B56"/>
      <c r="C56"/>
      <c r="D56"/>
      <c r="E56"/>
      <c r="F56"/>
      <c r="G56"/>
    </row>
    <row r="57" spans="1:7" x14ac:dyDescent="0.3">
      <c r="A57"/>
      <c r="B57"/>
      <c r="C57"/>
      <c r="D57"/>
      <c r="E57"/>
      <c r="F57"/>
      <c r="G57"/>
    </row>
    <row r="58" spans="1:7" x14ac:dyDescent="0.3">
      <c r="A58"/>
      <c r="B58"/>
      <c r="C58"/>
      <c r="D58"/>
      <c r="E58"/>
      <c r="F58"/>
      <c r="G58"/>
    </row>
    <row r="59" spans="1:7" x14ac:dyDescent="0.3">
      <c r="A59"/>
      <c r="B59"/>
      <c r="C59"/>
      <c r="D59"/>
      <c r="E59"/>
      <c r="F59"/>
      <c r="G59"/>
    </row>
    <row r="60" spans="1:7" x14ac:dyDescent="0.3">
      <c r="A60"/>
      <c r="B60"/>
      <c r="C60"/>
      <c r="D60"/>
      <c r="E60"/>
      <c r="F60"/>
      <c r="G60"/>
    </row>
    <row r="61" spans="1:7" x14ac:dyDescent="0.3">
      <c r="A61"/>
      <c r="B61"/>
      <c r="C61"/>
      <c r="D61"/>
      <c r="E61"/>
      <c r="F61"/>
      <c r="G61"/>
    </row>
    <row r="62" spans="1:7" x14ac:dyDescent="0.3">
      <c r="A62"/>
      <c r="B62"/>
      <c r="C62"/>
      <c r="D62"/>
      <c r="E62"/>
      <c r="F62"/>
      <c r="G62"/>
    </row>
    <row r="63" spans="1:7" x14ac:dyDescent="0.3">
      <c r="A63"/>
      <c r="B63"/>
      <c r="C63"/>
      <c r="D63"/>
      <c r="E63"/>
      <c r="F63"/>
      <c r="G63"/>
    </row>
    <row r="64" spans="1:7" x14ac:dyDescent="0.3">
      <c r="A64"/>
      <c r="B64"/>
      <c r="C64"/>
      <c r="D64"/>
      <c r="E64"/>
      <c r="F64"/>
      <c r="G64"/>
    </row>
    <row r="65" spans="1:7" x14ac:dyDescent="0.3">
      <c r="A65"/>
      <c r="B65"/>
      <c r="C65"/>
      <c r="D65"/>
      <c r="E65"/>
      <c r="F65"/>
      <c r="G65"/>
    </row>
    <row r="66" spans="1:7" x14ac:dyDescent="0.3">
      <c r="A66"/>
      <c r="B66"/>
      <c r="C66"/>
      <c r="D66"/>
      <c r="E66"/>
      <c r="F66"/>
      <c r="G66"/>
    </row>
    <row r="67" spans="1:7" x14ac:dyDescent="0.3">
      <c r="A67"/>
      <c r="B67"/>
      <c r="C67"/>
      <c r="D67"/>
      <c r="E67"/>
      <c r="F67"/>
      <c r="G67"/>
    </row>
    <row r="68" spans="1:7" x14ac:dyDescent="0.3">
      <c r="A68"/>
      <c r="B68"/>
      <c r="C68"/>
      <c r="D68"/>
      <c r="E68"/>
      <c r="F68"/>
      <c r="G68"/>
    </row>
    <row r="69" spans="1:7" x14ac:dyDescent="0.3">
      <c r="A69"/>
      <c r="B69"/>
      <c r="C69"/>
      <c r="D69"/>
      <c r="E69"/>
      <c r="F69"/>
      <c r="G69"/>
    </row>
    <row r="70" spans="1:7" x14ac:dyDescent="0.3">
      <c r="A70"/>
      <c r="B70"/>
      <c r="C70"/>
      <c r="D70"/>
      <c r="E70"/>
      <c r="F70"/>
      <c r="G70"/>
    </row>
    <row r="71" spans="1:7" x14ac:dyDescent="0.3">
      <c r="A71"/>
      <c r="B71"/>
      <c r="C71"/>
      <c r="D71"/>
      <c r="E71"/>
      <c r="F71"/>
      <c r="G71"/>
    </row>
    <row r="72" spans="1:7" x14ac:dyDescent="0.3">
      <c r="A72"/>
      <c r="B72"/>
      <c r="C72"/>
      <c r="D72"/>
      <c r="E72"/>
      <c r="F72"/>
      <c r="G72"/>
    </row>
    <row r="73" spans="1:7" x14ac:dyDescent="0.3">
      <c r="A73"/>
      <c r="B73"/>
      <c r="C73"/>
      <c r="D73"/>
      <c r="E73"/>
      <c r="F73"/>
      <c r="G73"/>
    </row>
    <row r="74" spans="1:7" x14ac:dyDescent="0.3">
      <c r="A74"/>
      <c r="B74"/>
      <c r="C74"/>
      <c r="D74"/>
      <c r="E74"/>
      <c r="F74"/>
      <c r="G74"/>
    </row>
    <row r="75" spans="1:7" x14ac:dyDescent="0.3">
      <c r="A75"/>
      <c r="B75"/>
      <c r="C75"/>
      <c r="D75"/>
      <c r="E75"/>
      <c r="F75"/>
      <c r="G75"/>
    </row>
    <row r="76" spans="1:7" x14ac:dyDescent="0.3">
      <c r="A76"/>
      <c r="B76"/>
      <c r="C76"/>
      <c r="D76"/>
      <c r="E76"/>
      <c r="F76"/>
      <c r="G76"/>
    </row>
    <row r="77" spans="1:7" x14ac:dyDescent="0.3">
      <c r="A77"/>
      <c r="B77"/>
      <c r="C77"/>
      <c r="D77"/>
      <c r="E77"/>
      <c r="F77"/>
      <c r="G77"/>
    </row>
    <row r="78" spans="1:7" x14ac:dyDescent="0.3">
      <c r="A78"/>
      <c r="B78"/>
      <c r="C78"/>
      <c r="D78"/>
      <c r="E78"/>
      <c r="F78"/>
      <c r="G78"/>
    </row>
    <row r="79" spans="1:7" x14ac:dyDescent="0.3">
      <c r="A79"/>
      <c r="B79"/>
      <c r="C79"/>
      <c r="D79"/>
      <c r="E79"/>
      <c r="F79"/>
      <c r="G79"/>
    </row>
    <row r="80" spans="1:7" x14ac:dyDescent="0.3">
      <c r="A80"/>
      <c r="B80"/>
      <c r="C80"/>
      <c r="D80"/>
      <c r="E80"/>
      <c r="F80"/>
      <c r="G80"/>
    </row>
    <row r="81" spans="1:7" x14ac:dyDescent="0.3">
      <c r="A81"/>
      <c r="B81"/>
      <c r="C81"/>
      <c r="D81"/>
      <c r="E81"/>
      <c r="F81"/>
      <c r="G81"/>
    </row>
    <row r="82" spans="1:7" x14ac:dyDescent="0.3">
      <c r="A82"/>
      <c r="B82"/>
      <c r="C82"/>
      <c r="D82"/>
      <c r="E82"/>
      <c r="F82"/>
      <c r="G82"/>
    </row>
    <row r="83" spans="1:7" x14ac:dyDescent="0.3">
      <c r="A83"/>
      <c r="B83"/>
      <c r="C83"/>
      <c r="D83"/>
      <c r="E83"/>
      <c r="F83"/>
      <c r="G83"/>
    </row>
    <row r="84" spans="1:7" x14ac:dyDescent="0.3">
      <c r="A84"/>
      <c r="B84"/>
      <c r="C84"/>
      <c r="D84"/>
      <c r="E84"/>
      <c r="F84"/>
      <c r="G84"/>
    </row>
  </sheetData>
  <conditionalFormatting pivot="1" sqref="B6:G6 B7:G7 B8:G8 B9:G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6:G6 B7:G7 B8:G8 B9:G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015F-E1C2-44B9-B9A8-169CCCD8D24F}">
  <dimension ref="A6:C94"/>
  <sheetViews>
    <sheetView tabSelected="1" zoomScaleNormal="100" workbookViewId="0">
      <selection activeCell="E8" sqref="E8"/>
    </sheetView>
  </sheetViews>
  <sheetFormatPr baseColWidth="10" defaultColWidth="11.44140625" defaultRowHeight="14.4" x14ac:dyDescent="0.3"/>
  <cols>
    <col min="1" max="1" width="12.6640625" style="18" bestFit="1" customWidth="1"/>
    <col min="2" max="2" width="13.21875" style="18" bestFit="1" customWidth="1"/>
    <col min="3" max="3" width="10.21875" style="18" bestFit="1" customWidth="1"/>
    <col min="4" max="4" width="6.5546875" style="18" bestFit="1" customWidth="1"/>
    <col min="5" max="6" width="7.33203125" style="18" bestFit="1" customWidth="1"/>
    <col min="7" max="8" width="16.88671875" style="18" bestFit="1" customWidth="1"/>
    <col min="9" max="11" width="17.33203125" style="18" bestFit="1" customWidth="1"/>
    <col min="12" max="52" width="22.44140625" style="18" bestFit="1" customWidth="1"/>
    <col min="53" max="56" width="23.44140625" style="18" bestFit="1" customWidth="1"/>
    <col min="57" max="16384" width="11.44140625" style="18"/>
  </cols>
  <sheetData>
    <row r="6" spans="1:3" x14ac:dyDescent="0.3">
      <c r="A6" s="23" t="s">
        <v>183</v>
      </c>
      <c r="B6" s="40" t="s">
        <v>194</v>
      </c>
      <c r="C6" s="40" t="s">
        <v>195</v>
      </c>
    </row>
    <row r="7" spans="1:3" x14ac:dyDescent="0.3">
      <c r="A7" s="24">
        <v>2025</v>
      </c>
      <c r="B7" s="25">
        <v>0.92</v>
      </c>
      <c r="C7" s="25">
        <v>0.92142857142857149</v>
      </c>
    </row>
    <row r="8" spans="1:3" x14ac:dyDescent="0.3">
      <c r="A8" s="93" t="s">
        <v>193</v>
      </c>
      <c r="B8" s="25">
        <v>0.92</v>
      </c>
      <c r="C8" s="25">
        <v>0.92142857142857149</v>
      </c>
    </row>
    <row r="9" spans="1:3" x14ac:dyDescent="0.3">
      <c r="A9" s="109">
        <v>13</v>
      </c>
      <c r="B9" s="25">
        <v>0.92</v>
      </c>
      <c r="C9" s="25">
        <v>0.92142857142857149</v>
      </c>
    </row>
    <row r="10" spans="1:3" x14ac:dyDescent="0.3">
      <c r="A10" s="24">
        <v>2026</v>
      </c>
      <c r="B10" s="25">
        <v>0.94</v>
      </c>
      <c r="C10" s="25">
        <v>0.98</v>
      </c>
    </row>
    <row r="11" spans="1:3" x14ac:dyDescent="0.3">
      <c r="A11" s="93" t="s">
        <v>193</v>
      </c>
      <c r="B11" s="25">
        <v>0.94</v>
      </c>
      <c r="C11" s="25">
        <v>0.98</v>
      </c>
    </row>
    <row r="12" spans="1:3" x14ac:dyDescent="0.3">
      <c r="A12" s="109">
        <v>13</v>
      </c>
      <c r="B12" s="25">
        <v>0.94</v>
      </c>
      <c r="C12" s="25">
        <v>0.98</v>
      </c>
    </row>
    <row r="13" spans="1:3" x14ac:dyDescent="0.3">
      <c r="A13" s="26" t="s">
        <v>190</v>
      </c>
      <c r="B13" s="27">
        <v>0.92599999999999993</v>
      </c>
      <c r="C13" s="27">
        <v>0.93900000000000006</v>
      </c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3" x14ac:dyDescent="0.3">
      <c r="A17"/>
      <c r="B17"/>
      <c r="C17"/>
    </row>
    <row r="18" spans="1:3" x14ac:dyDescent="0.3">
      <c r="A18"/>
      <c r="B18"/>
      <c r="C18"/>
    </row>
    <row r="19" spans="1:3" x14ac:dyDescent="0.3">
      <c r="A19"/>
      <c r="B19"/>
      <c r="C19"/>
    </row>
    <row r="20" spans="1:3" x14ac:dyDescent="0.3">
      <c r="A20"/>
      <c r="B20"/>
      <c r="C20"/>
    </row>
    <row r="21" spans="1:3" x14ac:dyDescent="0.3">
      <c r="A21"/>
      <c r="B21"/>
      <c r="C21"/>
    </row>
    <row r="22" spans="1:3" x14ac:dyDescent="0.3">
      <c r="A22"/>
      <c r="B22"/>
      <c r="C22"/>
    </row>
    <row r="23" spans="1:3" x14ac:dyDescent="0.3">
      <c r="A23"/>
      <c r="B23"/>
      <c r="C23"/>
    </row>
    <row r="24" spans="1:3" x14ac:dyDescent="0.3">
      <c r="A24"/>
      <c r="B24"/>
      <c r="C24"/>
    </row>
    <row r="25" spans="1:3" x14ac:dyDescent="0.3">
      <c r="A25"/>
      <c r="B25"/>
      <c r="C25"/>
    </row>
    <row r="26" spans="1:3" x14ac:dyDescent="0.3">
      <c r="A26"/>
      <c r="B26"/>
      <c r="C26"/>
    </row>
    <row r="27" spans="1:3" x14ac:dyDescent="0.3">
      <c r="A27"/>
      <c r="B27"/>
      <c r="C27"/>
    </row>
    <row r="28" spans="1:3" x14ac:dyDescent="0.3">
      <c r="A28"/>
      <c r="B28"/>
      <c r="C28"/>
    </row>
    <row r="29" spans="1:3" x14ac:dyDescent="0.3">
      <c r="A29"/>
      <c r="B29"/>
      <c r="C29"/>
    </row>
    <row r="30" spans="1:3" x14ac:dyDescent="0.3">
      <c r="A30"/>
      <c r="B30"/>
      <c r="C30"/>
    </row>
    <row r="31" spans="1:3" x14ac:dyDescent="0.3">
      <c r="A31"/>
      <c r="B31"/>
      <c r="C31"/>
    </row>
    <row r="32" spans="1:3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  <row r="38" spans="1:3" x14ac:dyDescent="0.3">
      <c r="A38"/>
      <c r="B38"/>
      <c r="C38"/>
    </row>
    <row r="39" spans="1:3" x14ac:dyDescent="0.3">
      <c r="A39"/>
      <c r="B39"/>
      <c r="C39"/>
    </row>
    <row r="40" spans="1:3" x14ac:dyDescent="0.3">
      <c r="A40"/>
      <c r="B40"/>
      <c r="C40"/>
    </row>
    <row r="41" spans="1:3" x14ac:dyDescent="0.3">
      <c r="A41"/>
      <c r="B41"/>
      <c r="C41"/>
    </row>
    <row r="42" spans="1:3" x14ac:dyDescent="0.3">
      <c r="A42"/>
      <c r="B42"/>
      <c r="C42"/>
    </row>
    <row r="43" spans="1:3" x14ac:dyDescent="0.3">
      <c r="A43"/>
      <c r="B43"/>
      <c r="C43"/>
    </row>
    <row r="44" spans="1:3" x14ac:dyDescent="0.3">
      <c r="A44"/>
      <c r="B44"/>
      <c r="C44"/>
    </row>
    <row r="45" spans="1:3" x14ac:dyDescent="0.3">
      <c r="A45"/>
      <c r="B45"/>
      <c r="C45"/>
    </row>
    <row r="46" spans="1:3" x14ac:dyDescent="0.3">
      <c r="A46"/>
      <c r="B46"/>
      <c r="C46"/>
    </row>
    <row r="47" spans="1:3" x14ac:dyDescent="0.3">
      <c r="A47"/>
      <c r="B47"/>
      <c r="C47"/>
    </row>
    <row r="48" spans="1:3" x14ac:dyDescent="0.3">
      <c r="A48"/>
      <c r="B48"/>
      <c r="C48"/>
    </row>
    <row r="49" spans="1:3" x14ac:dyDescent="0.3">
      <c r="A49"/>
      <c r="B49"/>
      <c r="C49"/>
    </row>
    <row r="50" spans="1:3" x14ac:dyDescent="0.3">
      <c r="A50"/>
      <c r="B50"/>
      <c r="C50"/>
    </row>
    <row r="51" spans="1:3" x14ac:dyDescent="0.3">
      <c r="A51"/>
      <c r="B51"/>
      <c r="C51"/>
    </row>
    <row r="52" spans="1:3" x14ac:dyDescent="0.3">
      <c r="A52"/>
      <c r="B52"/>
      <c r="C52"/>
    </row>
    <row r="53" spans="1:3" x14ac:dyDescent="0.3">
      <c r="A53"/>
      <c r="B53"/>
      <c r="C53"/>
    </row>
    <row r="54" spans="1:3" x14ac:dyDescent="0.3">
      <c r="A54"/>
      <c r="B54"/>
      <c r="C54"/>
    </row>
    <row r="55" spans="1:3" x14ac:dyDescent="0.3">
      <c r="A55"/>
      <c r="B55"/>
      <c r="C55"/>
    </row>
    <row r="56" spans="1:3" x14ac:dyDescent="0.3">
      <c r="A56"/>
      <c r="B56"/>
      <c r="C56"/>
    </row>
    <row r="57" spans="1:3" x14ac:dyDescent="0.3">
      <c r="A57"/>
      <c r="B57"/>
      <c r="C57"/>
    </row>
    <row r="58" spans="1:3" x14ac:dyDescent="0.3">
      <c r="A58"/>
      <c r="B58"/>
      <c r="C58"/>
    </row>
    <row r="59" spans="1:3" x14ac:dyDescent="0.3">
      <c r="A59"/>
      <c r="B59"/>
      <c r="C59"/>
    </row>
    <row r="60" spans="1:3" x14ac:dyDescent="0.3">
      <c r="A60"/>
      <c r="B60"/>
      <c r="C60"/>
    </row>
    <row r="61" spans="1:3" x14ac:dyDescent="0.3">
      <c r="A61"/>
      <c r="B61"/>
      <c r="C61"/>
    </row>
    <row r="62" spans="1:3" x14ac:dyDescent="0.3">
      <c r="A62"/>
      <c r="B62"/>
      <c r="C62"/>
    </row>
    <row r="63" spans="1:3" x14ac:dyDescent="0.3">
      <c r="A63"/>
      <c r="B63"/>
      <c r="C63"/>
    </row>
    <row r="64" spans="1:3" x14ac:dyDescent="0.3">
      <c r="A64"/>
      <c r="B64"/>
      <c r="C64"/>
    </row>
    <row r="65" spans="1:3" x14ac:dyDescent="0.3">
      <c r="A65"/>
      <c r="B65"/>
      <c r="C65"/>
    </row>
    <row r="66" spans="1:3" x14ac:dyDescent="0.3">
      <c r="A66"/>
      <c r="B66"/>
      <c r="C66"/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  <row r="71" spans="1:3" x14ac:dyDescent="0.3">
      <c r="A71"/>
      <c r="B71"/>
      <c r="C71"/>
    </row>
    <row r="72" spans="1:3" x14ac:dyDescent="0.3">
      <c r="A72"/>
      <c r="B72"/>
      <c r="C72"/>
    </row>
    <row r="73" spans="1:3" x14ac:dyDescent="0.3">
      <c r="A73"/>
      <c r="B73"/>
      <c r="C73"/>
    </row>
    <row r="74" spans="1:3" x14ac:dyDescent="0.3">
      <c r="A74"/>
      <c r="B74"/>
      <c r="C74"/>
    </row>
    <row r="75" spans="1:3" x14ac:dyDescent="0.3">
      <c r="A75"/>
      <c r="B75"/>
      <c r="C75"/>
    </row>
    <row r="76" spans="1:3" x14ac:dyDescent="0.3">
      <c r="A76"/>
      <c r="B76"/>
      <c r="C76"/>
    </row>
    <row r="77" spans="1:3" x14ac:dyDescent="0.3">
      <c r="A77"/>
      <c r="B77"/>
      <c r="C77"/>
    </row>
    <row r="78" spans="1:3" x14ac:dyDescent="0.3">
      <c r="A78"/>
      <c r="B78"/>
      <c r="C78"/>
    </row>
    <row r="79" spans="1:3" x14ac:dyDescent="0.3">
      <c r="A79"/>
      <c r="B79"/>
      <c r="C79"/>
    </row>
    <row r="80" spans="1:3" x14ac:dyDescent="0.3">
      <c r="A80"/>
      <c r="B80"/>
      <c r="C80"/>
    </row>
    <row r="81" spans="1:3" x14ac:dyDescent="0.3">
      <c r="A81"/>
      <c r="B81"/>
      <c r="C81"/>
    </row>
    <row r="82" spans="1:3" x14ac:dyDescent="0.3">
      <c r="A82"/>
      <c r="B82"/>
      <c r="C82"/>
    </row>
    <row r="83" spans="1:3" x14ac:dyDescent="0.3">
      <c r="A83"/>
      <c r="B83"/>
      <c r="C83"/>
    </row>
    <row r="84" spans="1:3" x14ac:dyDescent="0.3">
      <c r="A84"/>
      <c r="B84"/>
      <c r="C84"/>
    </row>
    <row r="85" spans="1:3" x14ac:dyDescent="0.3">
      <c r="A85"/>
      <c r="B85"/>
      <c r="C85"/>
    </row>
    <row r="86" spans="1:3" x14ac:dyDescent="0.3">
      <c r="A86"/>
      <c r="B86"/>
      <c r="C86"/>
    </row>
    <row r="87" spans="1:3" x14ac:dyDescent="0.3">
      <c r="A87"/>
      <c r="B87"/>
      <c r="C87"/>
    </row>
    <row r="88" spans="1:3" x14ac:dyDescent="0.3">
      <c r="A88"/>
      <c r="B88"/>
      <c r="C88"/>
    </row>
    <row r="89" spans="1:3" x14ac:dyDescent="0.3">
      <c r="A89"/>
      <c r="B89"/>
      <c r="C89"/>
    </row>
    <row r="90" spans="1:3" x14ac:dyDescent="0.3">
      <c r="A90"/>
      <c r="B90"/>
      <c r="C90"/>
    </row>
    <row r="91" spans="1:3" x14ac:dyDescent="0.3">
      <c r="A91"/>
      <c r="B91"/>
      <c r="C91"/>
    </row>
    <row r="92" spans="1:3" x14ac:dyDescent="0.3">
      <c r="A92"/>
      <c r="B92"/>
      <c r="C92"/>
    </row>
    <row r="93" spans="1:3" x14ac:dyDescent="0.3">
      <c r="A93"/>
      <c r="B93"/>
      <c r="C93"/>
    </row>
    <row r="94" spans="1:3" x14ac:dyDescent="0.3">
      <c r="A94"/>
      <c r="B94"/>
      <c r="C94"/>
    </row>
  </sheetData>
  <conditionalFormatting pivot="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7:C7 B8:C8 B9:C9 B10:C10 B11:C11 B12:C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A1294-D525-456A-A46F-1459927B0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REFRISTORE</vt:lpstr>
      <vt:lpstr> Demanda Kw</vt:lpstr>
      <vt:lpstr>Factor Demanda</vt:lpstr>
      <vt:lpstr>FactorPotencia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Sergio Chavez</cp:lastModifiedBy>
  <cp:revision/>
  <dcterms:created xsi:type="dcterms:W3CDTF">2015-06-05T18:19:34Z</dcterms:created>
  <dcterms:modified xsi:type="dcterms:W3CDTF">2026-03-26T20:44:59Z</dcterms:modified>
  <cp:category/>
  <cp:contentStatus/>
</cp:coreProperties>
</file>